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Lighting" sheetId="3" state="visible" r:id="rId5"/>
    <sheet name="Load_Schedule" sheetId="4" state="visible" r:id="rId6"/>
    <sheet name="Sizing" sheetId="5" state="visible" r:id="rId7"/>
    <sheet name="Cable_Schedule" sheetId="6" state="visible" r:id="rId8"/>
    <sheet name="Earthing" sheetId="7" state="visible" r:id="rId9"/>
    <sheet name="Ref_Tabl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<sst xmlns="http://schemas.openxmlformats.org/spreadsheetml/2006/main" count="638" uniqueCount="386">
  <si>
    <t xml:space="preserve">Electrical Design Calculations: G+2 Commercial Office Building</t>
  </si>
  <si>
    <t xml:space="preserve">Prepared by Anuj Kumar (B.Tech EE, DTU). Portfolio design exercise</t>
  </si>
  <si>
    <t xml:space="preserve">Sheet</t>
  </si>
  <si>
    <t xml:space="preserve">What it contains</t>
  </si>
  <si>
    <t xml:space="preserve">Inputs</t>
  </si>
  <si>
    <t xml:space="preserve">Design inputs and assumptions: supply, margins, loading limits, derating, soil data. Change these and every sheet updates.</t>
  </si>
  <si>
    <t xml:space="preserve">Lighting</t>
  </si>
  <si>
    <t xml:space="preserve">Lumen-method lighting design per space (room index, UF, MF, fixture count, achieved lux, LPD vs ECBC 2017).</t>
  </si>
  <si>
    <t xml:space="preserve">Load_Schedule</t>
  </si>
  <si>
    <t xml:space="preserve">Connected load, demand factors, maximum demand (kW/kVAr/kVA), essential (DG) and UPS-backed loads, feeder tagging.</t>
  </si>
  <si>
    <t xml:space="preserve">Sizing</t>
  </si>
  <si>
    <t xml:space="preserve">Transformer, DG, UPS + battery and APFC sizing; LV full-load current and fault level.</t>
  </si>
  <si>
    <t xml:space="preserve">Cable_Schedule</t>
  </si>
  <si>
    <t xml:space="preserve">Feeder cables from the Main LT Panel: breaker rating, derating, size by ampacity and by voltage drop, final selection.</t>
  </si>
  <si>
    <t xml:space="preserve">Earthing</t>
  </si>
  <si>
    <t xml:space="preserve">Earth electrode resistance (IS 3043), number of electrodes, strip interconnection, earth conductor sizing.</t>
  </si>
  <si>
    <t xml:space="preserve">Ref_Tables</t>
  </si>
  <si>
    <t xml:space="preserve">Cable data, utilisation factors, standard equipment ratings, IS 3043 parallel-electrode factors.</t>
  </si>
  <si>
    <t xml:space="preserve">Colour legend</t>
  </si>
  <si>
    <t xml:space="preserve">Blue text, yellow fill</t>
  </si>
  <si>
    <t xml:space="preserve">Input: edit these</t>
  </si>
  <si>
    <t xml:space="preserve">Black text</t>
  </si>
  <si>
    <t xml:space="preserve">Formula: do not overwrite</t>
  </si>
  <si>
    <t xml:space="preserve">Green text</t>
  </si>
  <si>
    <t xml:space="preserve">Link from another sheet</t>
  </si>
  <si>
    <t xml:space="preserve">Green fill</t>
  </si>
  <si>
    <t xml:space="preserve">Key result / selected equipment</t>
  </si>
  <si>
    <t xml:space="preserve">Building basis</t>
  </si>
  <si>
    <t xml:space="preserve">Ground + 2 floors, 600 m² per floor (30 m x 20 m), commercial office, Delhi.</t>
  </si>
  <si>
    <t xml:space="preserve">GF: reception/lobby, cafeteria, open office, electrical room. FF &amp; SF: open office, cabins, meeting room.</t>
  </si>
  <si>
    <t xml:space="preserve">Supply: 11 kV HT from DISCOM → 11/0.433 kV Dyn11 oil-type transformer → Main LT Panel (MLTP). DG backup via AMF panel; UPS for IT loads; APFC at MLTP.</t>
  </si>
  <si>
    <t xml:space="preserve">Earthing system: TN-S at LV.</t>
  </si>
  <si>
    <t xml:space="preserve">Codes &amp; standards referred</t>
  </si>
  <si>
    <t xml:space="preserve">IS 732:2019 (wiring installations); IS 3043:2018 (earthing); IS 3646 / NBC 2016 Part 8 Sec 2 (lighting &amp; electrical); ECBC 2017 (lighting power density)</t>
  </si>
  <si>
    <t xml:space="preserve">IS 1180 (distribution transformers); IEC 60502-1 / IS 7098 (XLPE cables); IEC 60364-5-52 (cable selection, voltage drop); CEA (Measures relating to Safety &amp; Electric Supply) Regulations 2023</t>
  </si>
  <si>
    <t xml:space="preserve">Limitations</t>
  </si>
  <si>
    <t xml:space="preserve">Cable data from the Havells International Cables catalogue (IEC 60502-1). Reactance is a typical value since the catalogue does not list it.</t>
  </si>
  <si>
    <t xml:space="preserve">Demand factors are typical consultant practice. Confirm them against the client brief and DISCOM requirements.</t>
  </si>
  <si>
    <t xml:space="preserve">Short-circuit withstand of cables and the DG transient response (ISO 8528-5) still need checking with manufacturer data.</t>
  </si>
  <si>
    <t xml:space="preserve">Design inputs</t>
  </si>
  <si>
    <t xml:space="preserve">Parameter</t>
  </si>
  <si>
    <t xml:space="preserve">Value</t>
  </si>
  <si>
    <t xml:space="preserve">Unit</t>
  </si>
  <si>
    <t xml:space="preserve">Basis / note</t>
  </si>
  <si>
    <t xml:space="preserve">Area per floor</t>
  </si>
  <si>
    <t xml:space="preserve">m²</t>
  </si>
  <si>
    <t xml:space="preserve">30 m x 20 m</t>
  </si>
  <si>
    <t xml:space="preserve">Number of floors</t>
  </si>
  <si>
    <t xml:space="preserve">nos</t>
  </si>
  <si>
    <t xml:space="preserve">G + 2</t>
  </si>
  <si>
    <t xml:space="preserve">HT supply voltage</t>
  </si>
  <si>
    <t xml:space="preserve">kV</t>
  </si>
  <si>
    <t xml:space="preserve">DISCOM 11 kV supply (load above LT limit, so confirm with DISCOM)</t>
  </si>
  <si>
    <t xml:space="preserve">LT system voltage (L-L)</t>
  </si>
  <si>
    <t xml:space="preserve">V</t>
  </si>
  <si>
    <t xml:space="preserve">3-ph, 4-wire, 50 Hz</t>
  </si>
  <si>
    <t xml:space="preserve">Overall diversity factor</t>
  </si>
  <si>
    <t xml:space="preserve">-</t>
  </si>
  <si>
    <t xml:space="preserve">Applied over the sum of feeder demands</t>
  </si>
  <si>
    <t xml:space="preserve">Future expansion margin</t>
  </si>
  <si>
    <t xml:space="preserve">20%: typical consultant allowance</t>
  </si>
  <si>
    <t xml:space="preserve">Transformer max loading</t>
  </si>
  <si>
    <t xml:space="preserve">Sized for ≤80% loading at full demand + margin</t>
  </si>
  <si>
    <t xml:space="preserve">Transformer impedance</t>
  </si>
  <si>
    <t xml:space="preserve">p.u.</t>
  </si>
  <si>
    <t xml:space="preserve">IS 1180 typical for 250–630 kVA</t>
  </si>
  <si>
    <t xml:space="preserve">DG max loading</t>
  </si>
  <si>
    <t xml:space="preserve">Prime-rated DG at ≤80%</t>
  </si>
  <si>
    <t xml:space="preserve">Target power factor</t>
  </si>
  <si>
    <t xml:space="preserve">DISCOM incentive range</t>
  </si>
  <si>
    <t xml:space="preserve">UPS output PF</t>
  </si>
  <si>
    <t xml:space="preserve">Online double-conversion UPS</t>
  </si>
  <si>
    <t xml:space="preserve">UPS efficiency</t>
  </si>
  <si>
    <t xml:space="preserve">UPS battery backup time</t>
  </si>
  <si>
    <t xml:space="preserve">h</t>
  </si>
  <si>
    <t xml:space="preserve">30 min</t>
  </si>
  <si>
    <t xml:space="preserve">Battery DC bus voltage</t>
  </si>
  <si>
    <t xml:space="preserve">32 x 12 V VRLA blocks</t>
  </si>
  <si>
    <t xml:space="preserve">Battery ageing / design factor</t>
  </si>
  <si>
    <t xml:space="preserve">IEEE 485 ageing factor</t>
  </si>
  <si>
    <t xml:space="preserve">UPS battery charging allowance</t>
  </si>
  <si>
    <t xml:space="preserve">Added to UPS input demand</t>
  </si>
  <si>
    <t xml:space="preserve">Feeder voltage-drop limit</t>
  </si>
  <si>
    <t xml:space="preserve">3% on main feeders; ≤5% end-to-end (IS 732 / IEC 60364-5-52)</t>
  </si>
  <si>
    <t xml:space="preserve">Temperature derating factor</t>
  </si>
  <si>
    <t xml:space="preserve">Havells rating factor for 45°C air (catalogue base 30°C)</t>
  </si>
  <si>
    <t xml:space="preserve">Grouping derating factor</t>
  </si>
  <si>
    <t xml:space="preserve">Havells: multicore touching, 2 racks x 4 cables</t>
  </si>
  <si>
    <t xml:space="preserve">Soil resistivity ρ</t>
  </si>
  <si>
    <t xml:space="preserve">Ω·m</t>
  </si>
  <si>
    <t xml:space="preserve">Assumed for Delhi alluvium; lies within the 10–130 Ω·m range reported for West Delhi (2014 resistivity survey). Replace with site Wenner 4-point test (IS 3043)</t>
  </si>
  <si>
    <t xml:space="preserve">Earth electrode length L</t>
  </si>
  <si>
    <t xml:space="preserve">m</t>
  </si>
  <si>
    <t xml:space="preserve">GI pipe electrode</t>
  </si>
  <si>
    <t xml:space="preserve">Effective electrode diameter d</t>
  </si>
  <si>
    <t xml:space="preserve">40 mm pipe in 100 mm bore with backfill compound</t>
  </si>
  <si>
    <t xml:space="preserve">Electrode spacing s</t>
  </si>
  <si>
    <t xml:space="preserve">≥ 2L</t>
  </si>
  <si>
    <t xml:space="preserve">Target earth grid resistance</t>
  </si>
  <si>
    <t xml:space="preserve">Ω</t>
  </si>
  <si>
    <t xml:space="preserve">Typical requirement for substation earth grid</t>
  </si>
  <si>
    <t xml:space="preserve">Interconnecting strip length</t>
  </si>
  <si>
    <t xml:space="preserve">Buried ring/link strip between pits</t>
  </si>
  <si>
    <t xml:space="preserve">Strip width w</t>
  </si>
  <si>
    <t xml:space="preserve">50 mm</t>
  </si>
  <si>
    <t xml:space="preserve">Strip burial depth t</t>
  </si>
  <si>
    <t xml:space="preserve">Earth fault clearing time</t>
  </si>
  <si>
    <t xml:space="preserve">s</t>
  </si>
  <si>
    <t xml:space="preserve">Conservative (IS 3043)</t>
  </si>
  <si>
    <t xml:space="preserve">k factor, GI steel</t>
  </si>
  <si>
    <t xml:space="preserve">IS 3043, bare steel</t>
  </si>
  <si>
    <t xml:space="preserve">Corrosion allowance on earth conductor</t>
  </si>
  <si>
    <t xml:space="preserve">Multiplier on minimum area</t>
  </si>
  <si>
    <t xml:space="preserve">Lighting design: lumen method   N = (E x A) / (Φ x UF x MF)</t>
  </si>
  <si>
    <t xml:space="preserve">Hm = luminaire to working plane (3.0 m false ceiling − 0.75 m desk = 2.25 m). Room index K = A / (Hm x (L + W)). UF from Ref_Tables.</t>
  </si>
  <si>
    <t xml:space="preserve">Floor</t>
  </si>
  <si>
    <t xml:space="preserve">Space</t>
  </si>
  <si>
    <t xml:space="preserve">Length (m)</t>
  </si>
  <si>
    <t xml:space="preserve">Width (m)</t>
  </si>
  <si>
    <t xml:space="preserve">Area (m²)</t>
  </si>
  <si>
    <t xml:space="preserve">Hm (m)</t>
  </si>
  <si>
    <t xml:space="preserve">Room index K</t>
  </si>
  <si>
    <t xml:space="preserve">UF</t>
  </si>
  <si>
    <t xml:space="preserve">MF</t>
  </si>
  <si>
    <t xml:space="preserve">Target lux (E)</t>
  </si>
  <si>
    <t xml:space="preserve">Luminaire</t>
  </si>
  <si>
    <t xml:space="preserve">Lumens / fixture</t>
  </si>
  <si>
    <t xml:space="preserve">W / fixture</t>
  </si>
  <si>
    <t xml:space="preserve">Fixtures (N)</t>
  </si>
  <si>
    <t xml:space="preserve">Achieved lux</t>
  </si>
  <si>
    <t xml:space="preserve">Installed W</t>
  </si>
  <si>
    <t xml:space="preserve">LPD (W/m²)</t>
  </si>
  <si>
    <t xml:space="preserve">ECBC limit (W/m²)</t>
  </si>
  <si>
    <t xml:space="preserve">Check</t>
  </si>
  <si>
    <t xml:space="preserve">GF</t>
  </si>
  <si>
    <t xml:space="preserve">Reception / lobby</t>
  </si>
  <si>
    <t xml:space="preserve">LED downlight 18 W</t>
  </si>
  <si>
    <t xml:space="preserve">Cafeteria</t>
  </si>
  <si>
    <t xml:space="preserve">Open office</t>
  </si>
  <si>
    <t xml:space="preserve">LED panel 600x600 36 W</t>
  </si>
  <si>
    <t xml:space="preserve">Electrical room</t>
  </si>
  <si>
    <t xml:space="preserve">LED batten 20 W</t>
  </si>
  <si>
    <t xml:space="preserve">FF</t>
  </si>
  <si>
    <t xml:space="preserve">Cabins</t>
  </si>
  <si>
    <t xml:space="preserve">Meeting room</t>
  </si>
  <si>
    <t xml:space="preserve">SF</t>
  </si>
  <si>
    <t xml:space="preserve">Total</t>
  </si>
  <si>
    <t xml:space="preserve">Lux targets per NBC 2016 Part 8 / IS 3646 (office 300, cafeteria 200, lobby &amp; plant room 150). MF 0.8 for LED in clean office. ECBC 2017 building-area LPD (office) 9.5 W/m². Corridors and toilets not included.</t>
  </si>
  <si>
    <t xml:space="preserve">Load schedule &amp; maximum demand</t>
  </si>
  <si>
    <t xml:space="preserve">MD = Connected load x Demand factor. kVAr = kW x tan(cos⁻¹ PF). DG demand uses its own factor (load shedding on DG). Feeder tag links each load to its MLTP outgoing feeder (Cable_Schedule).</t>
  </si>
  <si>
    <t xml:space="preserve">S.No</t>
  </si>
  <si>
    <t xml:space="preserve">Floor / area</t>
  </si>
  <si>
    <t xml:space="preserve">Load</t>
  </si>
  <si>
    <t xml:space="preserve">Feeder</t>
  </si>
  <si>
    <t xml:space="preserve">Qty</t>
  </si>
  <si>
    <t xml:space="preserve">kW / unit</t>
  </si>
  <si>
    <t xml:space="preserve">Connected load (kW)</t>
  </si>
  <si>
    <t xml:space="preserve">PF</t>
  </si>
  <si>
    <t xml:space="preserve">Demand factor</t>
  </si>
  <si>
    <t xml:space="preserve">MD (kW)</t>
  </si>
  <si>
    <t xml:space="preserve">MD (kVAr)</t>
  </si>
  <si>
    <t xml:space="preserve">MD (kVA)</t>
  </si>
  <si>
    <t xml:space="preserve">Essential (DG)</t>
  </si>
  <si>
    <t xml:space="preserve">DG factor</t>
  </si>
  <si>
    <t xml:space="preserve">DG demand (kW)</t>
  </si>
  <si>
    <t xml:space="preserve">DG demand (kVAr)</t>
  </si>
  <si>
    <t xml:space="preserve">UPS backed</t>
  </si>
  <si>
    <t xml:space="preserve">Notes</t>
  </si>
  <si>
    <t xml:space="preserve">Lighting (LED)</t>
  </si>
  <si>
    <t xml:space="preserve">F01</t>
  </si>
  <si>
    <t xml:space="preserve">Y</t>
  </si>
  <si>
    <t xml:space="preserve">N</t>
  </si>
  <si>
    <t xml:space="preserve">From Lighting sheet</t>
  </si>
  <si>
    <t xml:space="preserve">6A raw power sockets</t>
  </si>
  <si>
    <t xml:space="preserve">16A power sockets</t>
  </si>
  <si>
    <t xml:space="preserve">Cafeteria / pantry equipment</t>
  </si>
  <si>
    <t xml:space="preserve">Toilet exhaust fans</t>
  </si>
  <si>
    <t xml:space="preserve">Server room split AC</t>
  </si>
  <si>
    <t xml:space="preserve">Workstation UPS sockets</t>
  </si>
  <si>
    <t xml:space="preserve">F08</t>
  </si>
  <si>
    <t xml:space="preserve">Fed via UPS</t>
  </si>
  <si>
    <t xml:space="preserve">Server / IT rack</t>
  </si>
  <si>
    <t xml:space="preserve">F02</t>
  </si>
  <si>
    <t xml:space="preserve">F03</t>
  </si>
  <si>
    <t xml:space="preserve">Terrace</t>
  </si>
  <si>
    <t xml:space="preserve">VRF outdoor units (~30 TR per floor)</t>
  </si>
  <si>
    <t xml:space="preserve">F04</t>
  </si>
  <si>
    <t xml:space="preserve">50% HVAC on DG (load shedding)</t>
  </si>
  <si>
    <t xml:space="preserve">All floors</t>
  </si>
  <si>
    <t xml:space="preserve">VRF indoor units / FCU fans</t>
  </si>
  <si>
    <t xml:space="preserve">Fresh-air / ventilation fans</t>
  </si>
  <si>
    <t xml:space="preserve">Lift core</t>
  </si>
  <si>
    <t xml:space="preserve">Passenger lift, 8-pax, VVVF</t>
  </si>
  <si>
    <t xml:space="preserve">F05</t>
  </si>
  <si>
    <t xml:space="preserve">Pump room</t>
  </si>
  <si>
    <t xml:space="preserve">Domestic transfer pumps (1W + 1S)</t>
  </si>
  <si>
    <t xml:space="preserve">F06</t>
  </si>
  <si>
    <t xml:space="preserve">Standby not simultaneous</t>
  </si>
  <si>
    <t xml:space="preserve">Sewage treatment plant</t>
  </si>
  <si>
    <t xml:space="preserve">Main fire pump (electric)</t>
  </si>
  <si>
    <t xml:space="preserve">F07</t>
  </si>
  <si>
    <t xml:space="preserve">Runs only during fire; HVAC shed then. Full on DG</t>
  </si>
  <si>
    <t xml:space="preserve">Jockey pump</t>
  </si>
  <si>
    <t xml:space="preserve">Intermittent</t>
  </si>
  <si>
    <t xml:space="preserve">Parking</t>
  </si>
  <si>
    <t xml:space="preserve">EV chargers, AC 7.4 kW</t>
  </si>
  <si>
    <t xml:space="preserve">F09</t>
  </si>
  <si>
    <t xml:space="preserve">Not on DG</t>
  </si>
  <si>
    <t xml:space="preserve">External</t>
  </si>
  <si>
    <t xml:space="preserve">Landscape / street lighting</t>
  </si>
  <si>
    <t xml:space="preserve">F10</t>
  </si>
  <si>
    <t xml:space="preserve">Signage</t>
  </si>
  <si>
    <t xml:space="preserve">TOTAL (before diversity)</t>
  </si>
  <si>
    <t xml:space="preserve">Equipment sizing: transformer, DG, UPS, APFC</t>
  </si>
  <si>
    <t xml:space="preserve">A. Maximum demand</t>
  </si>
  <si>
    <t xml:space="preserve">Item</t>
  </si>
  <si>
    <t xml:space="preserve">Formula / note</t>
  </si>
  <si>
    <t xml:space="preserve">Total connected load</t>
  </si>
  <si>
    <t xml:space="preserve">kW</t>
  </si>
  <si>
    <t xml:space="preserve">Load_Schedule total</t>
  </si>
  <si>
    <t xml:space="preserve">Sum of feeder MD</t>
  </si>
  <si>
    <t xml:space="preserve">Σ (CL x DF)</t>
  </si>
  <si>
    <t xml:space="preserve">Sum of feeder MD (reactive)</t>
  </si>
  <si>
    <t xml:space="preserve">kVAr</t>
  </si>
  <si>
    <t xml:space="preserve">Building MD after diversity</t>
  </si>
  <si>
    <t xml:space="preserve">x overall diversity factor</t>
  </si>
  <si>
    <t xml:space="preserve">Building MD after diversity (reactive)</t>
  </si>
  <si>
    <t xml:space="preserve">Building MD</t>
  </si>
  <si>
    <t xml:space="preserve">kVA</t>
  </si>
  <si>
    <t xml:space="preserve">√(kW² + kVAr²)</t>
  </si>
  <si>
    <t xml:space="preserve">Uncorrected power factor</t>
  </si>
  <si>
    <t xml:space="preserve">B. Distribution transformer (11/0.433 kV, Dyn11, ONAN)</t>
  </si>
  <si>
    <t xml:space="preserve">Required rating</t>
  </si>
  <si>
    <t xml:space="preserve">MD x (1 + margin) / max loading</t>
  </si>
  <si>
    <t xml:space="preserve">Selected transformer</t>
  </si>
  <si>
    <t xml:space="preserve">Next IS 1180 standard rating</t>
  </si>
  <si>
    <t xml:space="preserve">Loading at present MD</t>
  </si>
  <si>
    <t xml:space="preserve">LV full-load current</t>
  </si>
  <si>
    <t xml:space="preserve">A</t>
  </si>
  <si>
    <t xml:space="preserve">kVA x 1000 / (√3 x V)</t>
  </si>
  <si>
    <t xml:space="preserve">HV full-load current</t>
  </si>
  <si>
    <t xml:space="preserve">LV fault level (infinite source)</t>
  </si>
  <si>
    <t xml:space="preserve">kA</t>
  </si>
  <si>
    <t xml:space="preserve">I_FL / Z%. Conservative; MLTP rated 25 kA, 1 s</t>
  </si>
  <si>
    <t xml:space="preserve">C. Diesel generator (AMF, prime rated)</t>
  </si>
  <si>
    <t xml:space="preserve">Essential demand</t>
  </si>
  <si>
    <t xml:space="preserve">Σ DG demand x diversity</t>
  </si>
  <si>
    <t xml:space="preserve">Essential demand (reactive)</t>
  </si>
  <si>
    <t xml:space="preserve">x (1 + margin) / max loading</t>
  </si>
  <si>
    <t xml:space="preserve">Selected DG set</t>
  </si>
  <si>
    <t xml:space="preserve">Next standard rating, 415 V, 0.8 PF</t>
  </si>
  <si>
    <t xml:space="preserve">Loading at essential demand</t>
  </si>
  <si>
    <t xml:space="preserve">Fire pump starting kVA (star-delta)</t>
  </si>
  <si>
    <t xml:space="preserve">kW / (η x PF) x LRC 6 / 3 for star-delta. Largest motor step</t>
  </si>
  <si>
    <t xml:space="preserve">Starting kVA as % of DG rating</t>
  </si>
  <si>
    <t xml:space="preserve">Confirm voltage dip with DG maker (ISO 8528-5)</t>
  </si>
  <si>
    <t xml:space="preserve">DG full-load current</t>
  </si>
  <si>
    <t xml:space="preserve">D. UPS &amp; battery (online, double conversion)</t>
  </si>
  <si>
    <t xml:space="preserve">UPS-backed demand</t>
  </si>
  <si>
    <t xml:space="preserve">Σ MD where UPS backed = Y</t>
  </si>
  <si>
    <t xml:space="preserve">kW / UPS output PF</t>
  </si>
  <si>
    <t xml:space="preserve">x (1 + margin)</t>
  </si>
  <si>
    <t xml:space="preserve">Selected UPS</t>
  </si>
  <si>
    <t xml:space="preserve">Next standard rating</t>
  </si>
  <si>
    <t xml:space="preserve">UPS loading</t>
  </si>
  <si>
    <t xml:space="preserve">Battery capacity required</t>
  </si>
  <si>
    <t xml:space="preserve">Ah</t>
  </si>
  <si>
    <t xml:space="preserve">P_rated x t x ageing / (V_dc x η). Check against maker's constant-power tables</t>
  </si>
  <si>
    <t xml:space="preserve">Selected battery</t>
  </si>
  <si>
    <t xml:space="preserve">UPS input demand</t>
  </si>
  <si>
    <t xml:space="preserve">Rated kW / η x (1 + charging), at 0.95 input PF. Used for UPS feeder</t>
  </si>
  <si>
    <t xml:space="preserve">E. APFC panel</t>
  </si>
  <si>
    <t xml:space="preserve">Required compensation</t>
  </si>
  <si>
    <t xml:space="preserve">P x (tan φ1 − tan φ2)</t>
  </si>
  <si>
    <t xml:space="preserve">Selected APFC panel</t>
  </si>
  <si>
    <t xml:space="preserve">x (1 + margin), in 25 kVAr steps; 7% detuned reactors (VRF/UPS harmonics)</t>
  </si>
  <si>
    <t xml:space="preserve">LT cable schedule: Main LT Panel feeders</t>
  </si>
  <si>
    <t xml:space="preserve">Breaker In ≥ Ib; cable Iz (derated) ≥ In; ΔV% = mV/A/m x I x L / (1000 x V) ≤ limit. Size = larger of ampacity and voltage-drop requirement. 0.6/1 kV Al XLPE armoured (Havells), 3.5 core (4 core for 16 mm²), on tray.</t>
  </si>
  <si>
    <t xml:space="preserve">Tag</t>
  </si>
  <si>
    <t xml:space="preserve">From</t>
  </si>
  <si>
    <t xml:space="preserve">To</t>
  </si>
  <si>
    <t xml:space="preserve">Load basis</t>
  </si>
  <si>
    <t xml:space="preserve">Load (kVA)</t>
  </si>
  <si>
    <t xml:space="preserve">Ib (A)</t>
  </si>
  <si>
    <t xml:space="preserve">Breaker In (A)</t>
  </si>
  <si>
    <t xml:space="preserve">Runs</t>
  </si>
  <si>
    <t xml:space="preserve">Temp factor</t>
  </si>
  <si>
    <t xml:space="preserve">Group factor</t>
  </si>
  <si>
    <t xml:space="preserve">Total derating</t>
  </si>
  <si>
    <t xml:space="preserve">Iz needed / run (A)</t>
  </si>
  <si>
    <t xml:space="preserve">Idx (ampacity)</t>
  </si>
  <si>
    <t xml:space="preserve">Max mV/A/m for ΔV</t>
  </si>
  <si>
    <t xml:space="preserve">Idx (ΔV)</t>
  </si>
  <si>
    <t xml:space="preserve">Final idx</t>
  </si>
  <si>
    <t xml:space="preserve">Size (mm²)</t>
  </si>
  <si>
    <t xml:space="preserve">Cable</t>
  </si>
  <si>
    <t xml:space="preserve">Iz derated total (A)</t>
  </si>
  <si>
    <t xml:space="preserve">ΔV (%)</t>
  </si>
  <si>
    <t xml:space="preserve">Governed by</t>
  </si>
  <si>
    <t xml:space="preserve">I01</t>
  </si>
  <si>
    <t xml:space="preserve">Transformer</t>
  </si>
  <si>
    <t xml:space="preserve">Main LT Panel</t>
  </si>
  <si>
    <t xml:space="preserve">Transformer rating</t>
  </si>
  <si>
    <t xml:space="preserve">I02</t>
  </si>
  <si>
    <t xml:space="preserve">DG set</t>
  </si>
  <si>
    <t xml:space="preserve">Main LT Panel (via AMF)</t>
  </si>
  <si>
    <t xml:space="preserve">DG rating</t>
  </si>
  <si>
    <t xml:space="preserve">GF Floor DB</t>
  </si>
  <si>
    <t xml:space="preserve">Load_Schedule MD</t>
  </si>
  <si>
    <t xml:space="preserve">FF Floor DB</t>
  </si>
  <si>
    <t xml:space="preserve">SF Floor DB</t>
  </si>
  <si>
    <t xml:space="preserve">HVAC Panel (terrace)</t>
  </si>
  <si>
    <t xml:space="preserve">Lift Panel</t>
  </si>
  <si>
    <t xml:space="preserve">Pump &amp; STP Panel</t>
  </si>
  <si>
    <t xml:space="preserve">Fire Pump Panel</t>
  </si>
  <si>
    <t xml:space="preserve">Full load (fire pump + jockey)</t>
  </si>
  <si>
    <t xml:space="preserve">UPS input</t>
  </si>
  <si>
    <t xml:space="preserve">EV Charger DB</t>
  </si>
  <si>
    <t xml:space="preserve">External Lighting DB</t>
  </si>
  <si>
    <t xml:space="preserve">F11</t>
  </si>
  <si>
    <t xml:space="preserve">APFC Panel</t>
  </si>
  <si>
    <t xml:space="preserve">1.43 x capacitor kVA (IEC 60831)</t>
  </si>
  <si>
    <t xml:space="preserve">Fire-pump feeder sized on full load (not demand) and must be routed separately as a fire-survival circuit (NBC 2016 Part 4). Short-circuit withstand S ≥ I·√t / k (k = 94, Al XLPE) to be checked against breaker let-through energy.</t>
  </si>
  <si>
    <t xml:space="preserve">Earthing design per IS 3043:2018</t>
  </si>
  <si>
    <t xml:space="preserve">A. Single pipe electrode</t>
  </si>
  <si>
    <t xml:space="preserve">Formula</t>
  </si>
  <si>
    <t xml:space="preserve">Resistance of one electrode, R1</t>
  </si>
  <si>
    <t xml:space="preserve">R = ρ / (2πL) x ln(4L / d)</t>
  </si>
  <si>
    <t xml:space="preserve">Mutual factor α</t>
  </si>
  <si>
    <t xml:space="preserve">α = ρ / (2π R1 s)</t>
  </si>
  <si>
    <t xml:space="preserve">B. Interconnecting strip electrode</t>
  </si>
  <si>
    <t xml:space="preserve">Resistance of buried strip, Rs</t>
  </si>
  <si>
    <t xml:space="preserve">R = ρ / (2πL) x ln(2L² / (w t))</t>
  </si>
  <si>
    <t xml:space="preserve">C. Number of electrodes (in line) + strip in parallel</t>
  </si>
  <si>
    <t xml:space="preserve">n</t>
  </si>
  <si>
    <t xml:space="preserve">λ</t>
  </si>
  <si>
    <t xml:space="preserve">Rn (Ω)</t>
  </si>
  <si>
    <t xml:space="preserve">Grid R (Ω)</t>
  </si>
  <si>
    <t xml:space="preserve">Meets target?</t>
  </si>
  <si>
    <t xml:space="preserve">Electrodes required in main grid</t>
  </si>
  <si>
    <t xml:space="preserve">Smallest n with grid R ≤ target. Rn = R1(1 + λα)/n; grid = Rn ∥ Rs (mutual coupling ignored, so measure after installation)</t>
  </si>
  <si>
    <t xml:space="preserve">Grid resistance achieved</t>
  </si>
  <si>
    <t xml:space="preserve">D. Earthing conductor sizing (adiabatic)</t>
  </si>
  <si>
    <t xml:space="preserve">Prospective earth fault current</t>
  </si>
  <si>
    <t xml:space="preserve">Taken = LV 3-ph fault level (conservative)</t>
  </si>
  <si>
    <t xml:space="preserve">Minimum area, S</t>
  </si>
  <si>
    <t xml:space="preserve">mm²</t>
  </si>
  <si>
    <t xml:space="preserve">S = I √t / k</t>
  </si>
  <si>
    <t xml:space="preserve">With corrosion allowance</t>
  </si>
  <si>
    <t xml:space="preserve">Selected GI strip (main earth conductor)</t>
  </si>
  <si>
    <t xml:space="preserve">mm</t>
  </si>
  <si>
    <t xml:space="preserve">E. Dedicated earth pits (in addition to main grid)</t>
  </si>
  <si>
    <t xml:space="preserve">Purpose</t>
  </si>
  <si>
    <t xml:space="preserve">Nos</t>
  </si>
  <si>
    <t xml:space="preserve">Note</t>
  </si>
  <si>
    <t xml:space="preserve">Transformer neutral</t>
  </si>
  <si>
    <t xml:space="preserve">Bonded to grid at one point (TN-S)</t>
  </si>
  <si>
    <t xml:space="preserve">DG neutral</t>
  </si>
  <si>
    <t xml:space="preserve">UPS / IT clean earth</t>
  </si>
  <si>
    <t xml:space="preserve">Isolated electronic earth, ≤ 0.5 Ω</t>
  </si>
  <si>
    <t xml:space="preserve">Lightning protection</t>
  </si>
  <si>
    <t xml:space="preserve">IS/IEC 62305 down-conductor pits</t>
  </si>
  <si>
    <t xml:space="preserve">Reference tables</t>
  </si>
  <si>
    <t xml:space="preserve">Source: Havells International Cables catalogue, 0.6/1 kV Al XLPE armoured, Tables 16 (3.5C, 25-300) &amp; 20 (4C, 16). Ampacity in air at 30°C.</t>
  </si>
  <si>
    <t xml:space="preserve">UF (refl. 70/50/20)</t>
  </si>
  <si>
    <t xml:space="preserve">IS 3043 parallel-electrode factor</t>
  </si>
  <si>
    <t xml:space="preserve">Ampacity in air 30°C (A)</t>
  </si>
  <si>
    <t xml:space="preserve">Max R @20°C (Ω/km)</t>
  </si>
  <si>
    <t xml:space="preserve">X (Ω/km)</t>
  </si>
  <si>
    <t xml:space="preserve">mV/A/m (3-ph, R @90°C)</t>
  </si>
  <si>
    <t xml:space="preserve">SC rating 1 s (kA)</t>
  </si>
  <si>
    <t xml:space="preserve">Transformer (kVA)</t>
  </si>
  <si>
    <t xml:space="preserve">DG set (kVA)</t>
  </si>
  <si>
    <t xml:space="preserve">UPS (kVA)</t>
  </si>
  <si>
    <t xml:space="preserve">Battery (Ah)</t>
  </si>
  <si>
    <t xml:space="preserve">λ (in line)</t>
  </si>
  <si>
    <t xml:space="preserve">GI strip</t>
  </si>
  <si>
    <t xml:space="preserve">Area (mm²)</t>
  </si>
  <si>
    <t xml:space="preserve">25 x 3</t>
  </si>
  <si>
    <t xml:space="preserve">25 x 6</t>
  </si>
  <si>
    <t xml:space="preserve">32 x 6</t>
  </si>
  <si>
    <t xml:space="preserve">40 x 6</t>
  </si>
  <si>
    <t xml:space="preserve">50 x 6</t>
  </si>
  <si>
    <t xml:space="preserve">50 x 10</t>
  </si>
  <si>
    <t xml:space="preserve">75 x 10</t>
  </si>
  <si>
    <t xml:space="preserve">R from catalogue (20°C DC) corrected to 90°C with α(Al) = 0.00403/°C. Catalogue gives no reactance, so X is a typical value for multicore XLPE. 16 mm² taken from the 4-core table (smallest 3.5C size is 25 mm²).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</si>
</sst>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%"/>
    <numFmt numFmtId="167" formatCode="0.0"/>
    <numFmt numFmtId="168" formatCode="0"/>
    <numFmt numFmtId="169" formatCode="#,##0"/>
    <numFmt numFmtId="170" formatCode="#,##0.0"/>
    <numFmt numFmtId="171" formatCode="0.000"/>
    <numFmt numFmtId="172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23.85" hidden="false" customHeight="false" outlineLevel="0" collapsed="false">
      <c r="B6" s="4" t="s">
        <v>4</v>
      </c>
      <c r="C6" s="5" t="s">
        <v>5</v>
      </c>
    </row>
    <row r="7" customFormat="false" ht="23.85" hidden="false" customHeight="false" outlineLevel="0" collapsed="false">
      <c r="B7" s="4" t="s">
        <v>6</v>
      </c>
      <c r="C7" s="5" t="s">
        <v>7</v>
      </c>
    </row>
    <row r="8" customFormat="false" ht="23.85" hidden="false" customHeight="false" outlineLevel="0" collapsed="false">
      <c r="B8" s="4" t="s">
        <v>8</v>
      </c>
      <c r="C8" s="5" t="s">
        <v>9</v>
      </c>
    </row>
    <row r="9" customFormat="false" ht="15" hidden="false" customHeight="false" outlineLevel="0" collapsed="false">
      <c r="B9" s="4" t="s">
        <v>10</v>
      </c>
      <c r="C9" s="5" t="s">
        <v>11</v>
      </c>
    </row>
    <row r="10" customFormat="false" ht="23.85" hidden="false" customHeight="false" outlineLevel="0" collapsed="false">
      <c r="B10" s="4" t="s">
        <v>12</v>
      </c>
      <c r="C10" s="5" t="s">
        <v>13</v>
      </c>
    </row>
    <row r="11" customFormat="false" ht="15" hidden="false" customHeight="false" outlineLevel="0" collapsed="false">
      <c r="B11" s="4" t="s">
        <v>14</v>
      </c>
      <c r="C11" s="5" t="s">
        <v>15</v>
      </c>
    </row>
    <row r="12" customFormat="false" ht="15" hidden="false" customHeight="false" outlineLevel="0" collapsed="false">
      <c r="B12" s="4" t="s">
        <v>16</v>
      </c>
      <c r="C12" s="5" t="s">
        <v>17</v>
      </c>
    </row>
    <row r="14" customFormat="false" ht="15" hidden="false" customHeight="false" outlineLevel="0" collapsed="false">
      <c r="B14" s="6" t="s">
        <v>18</v>
      </c>
    </row>
    <row r="15" customFormat="false" ht="15" hidden="false" customHeight="false" outlineLevel="0" collapsed="false">
      <c r="B15" s="7" t="s">
        <v>19</v>
      </c>
      <c r="C15" s="8" t="s">
        <v>20</v>
      </c>
    </row>
    <row r="16" customFormat="false" ht="15" hidden="false" customHeight="false" outlineLevel="0" collapsed="false">
      <c r="B16" s="8" t="s">
        <v>21</v>
      </c>
      <c r="C16" s="8" t="s">
        <v>22</v>
      </c>
    </row>
    <row r="17" customFormat="false" ht="15" hidden="false" customHeight="false" outlineLevel="0" collapsed="false">
      <c r="B17" s="9" t="s">
        <v>23</v>
      </c>
      <c r="C17" s="8" t="s">
        <v>24</v>
      </c>
    </row>
    <row r="18" customFormat="false" ht="15" hidden="false" customHeight="false" outlineLevel="0" collapsed="false">
      <c r="B18" s="10" t="s">
        <v>25</v>
      </c>
      <c r="C18" s="8" t="s">
        <v>26</v>
      </c>
    </row>
    <row r="20" customFormat="false" ht="15" hidden="false" customHeight="false" outlineLevel="0" collapsed="false">
      <c r="B20" s="6" t="s">
        <v>27</v>
      </c>
    </row>
    <row r="21" customFormat="false" ht="15" hidden="false" customHeight="false" outlineLevel="0" collapsed="false">
      <c r="C21" s="5" t="s">
        <v>28</v>
      </c>
    </row>
    <row r="22" customFormat="false" ht="15" hidden="false" customHeight="false" outlineLevel="0" collapsed="false">
      <c r="C22" s="5" t="s">
        <v>29</v>
      </c>
    </row>
    <row r="23" customFormat="false" ht="23.85" hidden="false" customHeight="false" outlineLevel="0" collapsed="false">
      <c r="C23" s="5" t="s">
        <v>30</v>
      </c>
    </row>
    <row r="24" customFormat="false" ht="15" hidden="false" customHeight="false" outlineLevel="0" collapsed="false">
      <c r="C24" s="5" t="s">
        <v>31</v>
      </c>
    </row>
    <row r="26" customFormat="false" ht="15" hidden="false" customHeight="false" outlineLevel="0" collapsed="false">
      <c r="B26" s="6" t="s">
        <v>32</v>
      </c>
    </row>
    <row r="27" customFormat="false" ht="23.85" hidden="false" customHeight="false" outlineLevel="0" collapsed="false">
      <c r="C27" s="5" t="s">
        <v>33</v>
      </c>
    </row>
    <row r="28" customFormat="false" ht="23.85" hidden="false" customHeight="false" outlineLevel="0" collapsed="false">
      <c r="C28" s="5" t="s">
        <v>34</v>
      </c>
    </row>
    <row r="30" customFormat="false" ht="15" hidden="false" customHeight="false" outlineLevel="0" collapsed="false">
      <c r="B30" s="6" t="s">
        <v>35</v>
      </c>
    </row>
    <row r="31" customFormat="false" ht="23.85" hidden="false" customHeight="false" outlineLevel="0" collapsed="false">
      <c r="C31" s="5" t="s">
        <v>36</v>
      </c>
    </row>
    <row r="32" customFormat="false" ht="23.85" hidden="false" customHeight="false" outlineLevel="0" collapsed="false">
      <c r="C32" s="5" t="s">
        <v>37</v>
      </c>
    </row>
    <row r="33" customFormat="false" ht="23.85" hidden="false" customHeight="false" outlineLevel="0" collapsed="false">
      <c r="C33" s="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70"/>
  </cols>
  <sheetData>
    <row r="2" customFormat="false" ht="17.35" hidden="false" customHeight="false" outlineLevel="0" collapsed="false">
      <c r="B2" s="1" t="s">
        <v>39</v>
      </c>
    </row>
    <row r="3" customFormat="false" ht="42" hidden="false" customHeight="true" outlineLevel="0" collapsed="false">
      <c r="B3" s="11" t="s">
        <v>40</v>
      </c>
      <c r="C3" s="11" t="s">
        <v>41</v>
      </c>
      <c r="D3" s="11" t="s">
        <v>42</v>
      </c>
      <c r="E3" s="11" t="s">
        <v>43</v>
      </c>
    </row>
    <row r="4" customFormat="false" ht="15" hidden="false" customHeight="false" outlineLevel="0" collapsed="false">
      <c r="B4" s="12" t="s">
        <v>44</v>
      </c>
      <c r="C4" s="13" t="n">
        <v>600</v>
      </c>
      <c r="D4" s="12" t="s">
        <v>45</v>
      </c>
      <c r="E4" s="14" t="s">
        <v>46</v>
      </c>
    </row>
    <row r="5" customFormat="false" ht="15" hidden="false" customHeight="false" outlineLevel="0" collapsed="false">
      <c r="B5" s="12" t="s">
        <v>47</v>
      </c>
      <c r="C5" s="13" t="n">
        <v>3</v>
      </c>
      <c r="D5" s="12" t="s">
        <v>48</v>
      </c>
      <c r="E5" s="14" t="s">
        <v>49</v>
      </c>
    </row>
    <row r="6" customFormat="false" ht="15" hidden="false" customHeight="false" outlineLevel="0" collapsed="false">
      <c r="B6" s="12" t="s">
        <v>50</v>
      </c>
      <c r="C6" s="13" t="n">
        <v>11</v>
      </c>
      <c r="D6" s="12" t="s">
        <v>51</v>
      </c>
      <c r="E6" s="14" t="s">
        <v>52</v>
      </c>
    </row>
    <row r="7" customFormat="false" ht="15" hidden="false" customHeight="false" outlineLevel="0" collapsed="false">
      <c r="B7" s="12" t="s">
        <v>53</v>
      </c>
      <c r="C7" s="13" t="n">
        <v>415</v>
      </c>
      <c r="D7" s="12" t="s">
        <v>54</v>
      </c>
      <c r="E7" s="14" t="s">
        <v>55</v>
      </c>
    </row>
    <row r="8" customFormat="false" ht="15" hidden="false" customHeight="false" outlineLevel="0" collapsed="false">
      <c r="B8" s="12" t="s">
        <v>56</v>
      </c>
      <c r="C8" s="15" t="n">
        <v>0.9</v>
      </c>
      <c r="D8" s="12" t="s">
        <v>57</v>
      </c>
      <c r="E8" s="14" t="s">
        <v>58</v>
      </c>
    </row>
    <row r="9" customFormat="false" ht="15" hidden="false" customHeight="false" outlineLevel="0" collapsed="false">
      <c r="B9" s="12" t="s">
        <v>59</v>
      </c>
      <c r="C9" s="16" t="n">
        <v>0.2</v>
      </c>
      <c r="D9" s="12" t="s">
        <v>57</v>
      </c>
      <c r="E9" s="14" t="s">
        <v>60</v>
      </c>
    </row>
    <row r="10" customFormat="false" ht="15" hidden="false" customHeight="false" outlineLevel="0" collapsed="false">
      <c r="B10" s="12" t="s">
        <v>61</v>
      </c>
      <c r="C10" s="15" t="n">
        <v>0.8</v>
      </c>
      <c r="D10" s="12" t="s">
        <v>57</v>
      </c>
      <c r="E10" s="14" t="s">
        <v>62</v>
      </c>
    </row>
    <row r="11" customFormat="false" ht="15" hidden="false" customHeight="false" outlineLevel="0" collapsed="false">
      <c r="B11" s="12" t="s">
        <v>63</v>
      </c>
      <c r="C11" s="13" t="n">
        <v>0.045</v>
      </c>
      <c r="D11" s="12" t="s">
        <v>64</v>
      </c>
      <c r="E11" s="14" t="s">
        <v>65</v>
      </c>
    </row>
    <row r="12" customFormat="false" ht="15" hidden="false" customHeight="false" outlineLevel="0" collapsed="false">
      <c r="B12" s="12" t="s">
        <v>66</v>
      </c>
      <c r="C12" s="15" t="n">
        <v>0.8</v>
      </c>
      <c r="D12" s="12" t="s">
        <v>57</v>
      </c>
      <c r="E12" s="14" t="s">
        <v>67</v>
      </c>
    </row>
    <row r="13" customFormat="false" ht="15" hidden="false" customHeight="false" outlineLevel="0" collapsed="false">
      <c r="B13" s="12" t="s">
        <v>68</v>
      </c>
      <c r="C13" s="15" t="n">
        <v>0.98</v>
      </c>
      <c r="D13" s="12" t="s">
        <v>57</v>
      </c>
      <c r="E13" s="14" t="s">
        <v>69</v>
      </c>
    </row>
    <row r="14" customFormat="false" ht="15" hidden="false" customHeight="false" outlineLevel="0" collapsed="false">
      <c r="B14" s="12" t="s">
        <v>70</v>
      </c>
      <c r="C14" s="15" t="n">
        <v>0.9</v>
      </c>
      <c r="D14" s="12" t="s">
        <v>57</v>
      </c>
      <c r="E14" s="14" t="s">
        <v>71</v>
      </c>
    </row>
    <row r="15" customFormat="false" ht="15" hidden="false" customHeight="false" outlineLevel="0" collapsed="false">
      <c r="B15" s="12" t="s">
        <v>72</v>
      </c>
      <c r="C15" s="15" t="n">
        <v>0.93</v>
      </c>
      <c r="D15" s="12" t="s">
        <v>57</v>
      </c>
      <c r="E15" s="14"/>
    </row>
    <row r="16" customFormat="false" ht="15" hidden="false" customHeight="false" outlineLevel="0" collapsed="false">
      <c r="B16" s="12" t="s">
        <v>73</v>
      </c>
      <c r="C16" s="13" t="n">
        <v>0.5</v>
      </c>
      <c r="D16" s="12" t="s">
        <v>74</v>
      </c>
      <c r="E16" s="14" t="s">
        <v>75</v>
      </c>
    </row>
    <row r="17" customFormat="false" ht="15" hidden="false" customHeight="false" outlineLevel="0" collapsed="false">
      <c r="B17" s="12" t="s">
        <v>76</v>
      </c>
      <c r="C17" s="13" t="n">
        <v>384</v>
      </c>
      <c r="D17" s="12" t="s">
        <v>54</v>
      </c>
      <c r="E17" s="14" t="s">
        <v>77</v>
      </c>
    </row>
    <row r="18" customFormat="false" ht="15" hidden="false" customHeight="false" outlineLevel="0" collapsed="false">
      <c r="B18" s="12" t="s">
        <v>78</v>
      </c>
      <c r="C18" s="13" t="n">
        <v>1.25</v>
      </c>
      <c r="D18" s="12" t="s">
        <v>57</v>
      </c>
      <c r="E18" s="14" t="s">
        <v>79</v>
      </c>
    </row>
    <row r="19" customFormat="false" ht="15" hidden="false" customHeight="false" outlineLevel="0" collapsed="false">
      <c r="B19" s="12" t="s">
        <v>80</v>
      </c>
      <c r="C19" s="16" t="n">
        <v>0.1</v>
      </c>
      <c r="D19" s="12" t="s">
        <v>57</v>
      </c>
      <c r="E19" s="14" t="s">
        <v>81</v>
      </c>
    </row>
    <row r="20" customFormat="false" ht="15" hidden="false" customHeight="false" outlineLevel="0" collapsed="false">
      <c r="B20" s="12" t="s">
        <v>82</v>
      </c>
      <c r="C20" s="16" t="n">
        <v>0.03</v>
      </c>
      <c r="D20" s="12" t="s">
        <v>57</v>
      </c>
      <c r="E20" s="14" t="s">
        <v>83</v>
      </c>
    </row>
    <row r="21" customFormat="false" ht="15" hidden="false" customHeight="false" outlineLevel="0" collapsed="false">
      <c r="B21" s="12" t="s">
        <v>84</v>
      </c>
      <c r="C21" s="15" t="n">
        <v>0.87</v>
      </c>
      <c r="D21" s="12" t="s">
        <v>57</v>
      </c>
      <c r="E21" s="14" t="s">
        <v>85</v>
      </c>
    </row>
    <row r="22" customFormat="false" ht="15" hidden="false" customHeight="false" outlineLevel="0" collapsed="false">
      <c r="B22" s="12" t="s">
        <v>86</v>
      </c>
      <c r="C22" s="15" t="n">
        <v>0.71</v>
      </c>
      <c r="D22" s="12" t="s">
        <v>57</v>
      </c>
      <c r="E22" s="14" t="s">
        <v>87</v>
      </c>
    </row>
    <row r="23" customFormat="false" ht="23.85" hidden="false" customHeight="false" outlineLevel="0" collapsed="false">
      <c r="B23" s="12" t="s">
        <v>88</v>
      </c>
      <c r="C23" s="13" t="n">
        <v>50</v>
      </c>
      <c r="D23" s="12" t="s">
        <v>89</v>
      </c>
      <c r="E23" s="14" t="s">
        <v>90</v>
      </c>
    </row>
    <row r="24" customFormat="false" ht="15" hidden="false" customHeight="false" outlineLevel="0" collapsed="false">
      <c r="B24" s="12" t="s">
        <v>91</v>
      </c>
      <c r="C24" s="13" t="n">
        <v>3</v>
      </c>
      <c r="D24" s="12" t="s">
        <v>92</v>
      </c>
      <c r="E24" s="14" t="s">
        <v>93</v>
      </c>
    </row>
    <row r="25" customFormat="false" ht="15" hidden="false" customHeight="false" outlineLevel="0" collapsed="false">
      <c r="B25" s="12" t="s">
        <v>94</v>
      </c>
      <c r="C25" s="13" t="n">
        <v>0.1</v>
      </c>
      <c r="D25" s="12" t="s">
        <v>92</v>
      </c>
      <c r="E25" s="14" t="s">
        <v>95</v>
      </c>
    </row>
    <row r="26" customFormat="false" ht="15" hidden="false" customHeight="false" outlineLevel="0" collapsed="false">
      <c r="B26" s="12" t="s">
        <v>96</v>
      </c>
      <c r="C26" s="13" t="n">
        <v>6</v>
      </c>
      <c r="D26" s="12" t="s">
        <v>92</v>
      </c>
      <c r="E26" s="14" t="s">
        <v>97</v>
      </c>
    </row>
    <row r="27" customFormat="false" ht="15" hidden="false" customHeight="false" outlineLevel="0" collapsed="false">
      <c r="B27" s="12" t="s">
        <v>98</v>
      </c>
      <c r="C27" s="13" t="n">
        <v>1</v>
      </c>
      <c r="D27" s="12" t="s">
        <v>99</v>
      </c>
      <c r="E27" s="14" t="s">
        <v>100</v>
      </c>
    </row>
    <row r="28" customFormat="false" ht="15" hidden="false" customHeight="false" outlineLevel="0" collapsed="false">
      <c r="B28" s="12" t="s">
        <v>101</v>
      </c>
      <c r="C28" s="13" t="n">
        <v>60</v>
      </c>
      <c r="D28" s="12" t="s">
        <v>92</v>
      </c>
      <c r="E28" s="14" t="s">
        <v>102</v>
      </c>
    </row>
    <row r="29" customFormat="false" ht="15" hidden="false" customHeight="false" outlineLevel="0" collapsed="false">
      <c r="B29" s="12" t="s">
        <v>103</v>
      </c>
      <c r="C29" s="13" t="n">
        <v>0.05</v>
      </c>
      <c r="D29" s="12" t="s">
        <v>92</v>
      </c>
      <c r="E29" s="14" t="s">
        <v>104</v>
      </c>
    </row>
    <row r="30" customFormat="false" ht="15" hidden="false" customHeight="false" outlineLevel="0" collapsed="false">
      <c r="B30" s="12" t="s">
        <v>105</v>
      </c>
      <c r="C30" s="13" t="n">
        <v>0.5</v>
      </c>
      <c r="D30" s="12" t="s">
        <v>92</v>
      </c>
      <c r="E30" s="14"/>
    </row>
    <row r="31" customFormat="false" ht="15" hidden="false" customHeight="false" outlineLevel="0" collapsed="false">
      <c r="B31" s="12" t="s">
        <v>106</v>
      </c>
      <c r="C31" s="13" t="n">
        <v>1</v>
      </c>
      <c r="D31" s="12" t="s">
        <v>107</v>
      </c>
      <c r="E31" s="14" t="s">
        <v>108</v>
      </c>
    </row>
    <row r="32" customFormat="false" ht="15" hidden="false" customHeight="false" outlineLevel="0" collapsed="false">
      <c r="B32" s="12" t="s">
        <v>109</v>
      </c>
      <c r="C32" s="13" t="n">
        <v>80</v>
      </c>
      <c r="D32" s="12" t="s">
        <v>57</v>
      </c>
      <c r="E32" s="14" t="s">
        <v>110</v>
      </c>
    </row>
    <row r="33" customFormat="false" ht="15" hidden="false" customHeight="false" outlineLevel="0" collapsed="false">
      <c r="B33" s="12" t="s">
        <v>111</v>
      </c>
      <c r="C33" s="13" t="n">
        <v>1.5</v>
      </c>
      <c r="D33" s="12" t="s">
        <v>57</v>
      </c>
      <c r="E33" s="14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4" min="3" style="0" width="8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8" min="8" style="0" width="7"/>
    <col collapsed="false" customWidth="true" hidden="false" outlineLevel="0" max="9" min="9" style="0" width="6"/>
    <col collapsed="false" customWidth="true" hidden="false" outlineLevel="0" max="10" min="10" style="0" width="8"/>
    <col collapsed="false" customWidth="true" hidden="false" outlineLevel="0" max="11" min="11" style="0" width="20"/>
    <col collapsed="false" customWidth="true" hidden="false" outlineLevel="0" max="12" min="12" style="0" width="9"/>
    <col collapsed="false" customWidth="true" hidden="false" outlineLevel="0" max="14" min="13" style="0" width="8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8" min="17" style="0" width="9"/>
    <col collapsed="false" customWidth="true" hidden="false" outlineLevel="0" max="19" min="19" style="0" width="8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42" hidden="false" customHeight="true" outlineLevel="0" collapsed="false">
      <c r="A4" s="11" t="s">
        <v>115</v>
      </c>
      <c r="B4" s="11" t="s">
        <v>116</v>
      </c>
      <c r="C4" s="11" t="s">
        <v>117</v>
      </c>
      <c r="D4" s="11" t="s">
        <v>118</v>
      </c>
      <c r="E4" s="11" t="s">
        <v>119</v>
      </c>
      <c r="F4" s="11" t="s">
        <v>120</v>
      </c>
      <c r="G4" s="11" t="s">
        <v>121</v>
      </c>
      <c r="H4" s="11" t="s">
        <v>122</v>
      </c>
      <c r="I4" s="11" t="s">
        <v>123</v>
      </c>
      <c r="J4" s="11" t="s">
        <v>124</v>
      </c>
      <c r="K4" s="11" t="s">
        <v>125</v>
      </c>
      <c r="L4" s="11" t="s">
        <v>126</v>
      </c>
      <c r="M4" s="11" t="s">
        <v>127</v>
      </c>
      <c r="N4" s="11" t="s">
        <v>128</v>
      </c>
      <c r="O4" s="11" t="s">
        <v>129</v>
      </c>
      <c r="P4" s="11" t="s">
        <v>130</v>
      </c>
      <c r="Q4" s="11" t="s">
        <v>131</v>
      </c>
      <c r="R4" s="11" t="s">
        <v>132</v>
      </c>
      <c r="S4" s="11" t="s">
        <v>133</v>
      </c>
    </row>
    <row r="5" customFormat="false" ht="15" hidden="false" customHeight="false" outlineLevel="0" collapsed="false">
      <c r="A5" s="13" t="s">
        <v>134</v>
      </c>
      <c r="B5" s="13" t="s">
        <v>135</v>
      </c>
      <c r="C5" s="17" t="n">
        <v>10</v>
      </c>
      <c r="D5" s="17" t="n">
        <v>10</v>
      </c>
      <c r="E5" s="18" t="n">
        <f aca="false">C5*D5</f>
        <v>100</v>
      </c>
      <c r="F5" s="15" t="n">
        <v>2.25</v>
      </c>
      <c r="G5" s="19" t="n">
        <f aca="false">E5/(F5*(C5+D5))</f>
        <v>2.22222222222222</v>
      </c>
      <c r="H5" s="20" t="n">
        <f aca="false">IFERROR(INDEX(Ref_Tables!$I$5:$I$14,MATCH(G5,Ref_Tables!$H$5:$H$14,1)),Ref_Tables!$I$5)</f>
        <v>0.72</v>
      </c>
      <c r="I5" s="15" t="n">
        <v>0.8</v>
      </c>
      <c r="J5" s="21" t="n">
        <v>150</v>
      </c>
      <c r="K5" s="13" t="s">
        <v>136</v>
      </c>
      <c r="L5" s="21" t="n">
        <v>1800</v>
      </c>
      <c r="M5" s="21" t="n">
        <v>18</v>
      </c>
      <c r="N5" s="22" t="n">
        <f aca="false">ROUNDUP(J5*E5/(L5*H5*I5),0)</f>
        <v>15</v>
      </c>
      <c r="O5" s="18" t="n">
        <f aca="false">N5*L5*H5*I5/E5</f>
        <v>155.52</v>
      </c>
      <c r="P5" s="23" t="n">
        <f aca="false">N5*M5</f>
        <v>270</v>
      </c>
      <c r="Q5" s="19" t="n">
        <f aca="false">P5/E5</f>
        <v>2.7</v>
      </c>
      <c r="R5" s="17" t="n">
        <v>9.5</v>
      </c>
      <c r="S5" s="12" t="str">
        <f aca="false">IF(AND(O5&gt;=J5,Q5&lt;=R5),"OK","CHECK")</f>
        <v>OK</v>
      </c>
    </row>
    <row r="6" customFormat="false" ht="15" hidden="false" customHeight="false" outlineLevel="0" collapsed="false">
      <c r="A6" s="13" t="s">
        <v>134</v>
      </c>
      <c r="B6" s="13" t="s">
        <v>137</v>
      </c>
      <c r="C6" s="17" t="n">
        <v>15</v>
      </c>
      <c r="D6" s="17" t="n">
        <v>10</v>
      </c>
      <c r="E6" s="18" t="n">
        <f aca="false">C6*D6</f>
        <v>150</v>
      </c>
      <c r="F6" s="15" t="n">
        <v>2.25</v>
      </c>
      <c r="G6" s="19" t="n">
        <f aca="false">E6/(F6*(C6+D6))</f>
        <v>2.66666666666667</v>
      </c>
      <c r="H6" s="20" t="n">
        <f aca="false">IFERROR(INDEX(Ref_Tables!$I$5:$I$14,MATCH(G6,Ref_Tables!$H$5:$H$14,1)),Ref_Tables!$I$5)</f>
        <v>0.75</v>
      </c>
      <c r="I6" s="15" t="n">
        <v>0.8</v>
      </c>
      <c r="J6" s="21" t="n">
        <v>200</v>
      </c>
      <c r="K6" s="13" t="s">
        <v>136</v>
      </c>
      <c r="L6" s="21" t="n">
        <v>1800</v>
      </c>
      <c r="M6" s="21" t="n">
        <v>18</v>
      </c>
      <c r="N6" s="22" t="n">
        <f aca="false">ROUNDUP(J6*E6/(L6*H6*I6),0)</f>
        <v>28</v>
      </c>
      <c r="O6" s="18" t="n">
        <f aca="false">N6*L6*H6*I6/E6</f>
        <v>201.6</v>
      </c>
      <c r="P6" s="23" t="n">
        <f aca="false">N6*M6</f>
        <v>504</v>
      </c>
      <c r="Q6" s="19" t="n">
        <f aca="false">P6/E6</f>
        <v>3.36</v>
      </c>
      <c r="R6" s="17" t="n">
        <v>9.5</v>
      </c>
      <c r="S6" s="12" t="str">
        <f aca="false">IF(AND(O6&gt;=J6,Q6&lt;=R6),"OK","CHECK")</f>
        <v>OK</v>
      </c>
    </row>
    <row r="7" customFormat="false" ht="15" hidden="false" customHeight="false" outlineLevel="0" collapsed="false">
      <c r="A7" s="13" t="s">
        <v>134</v>
      </c>
      <c r="B7" s="13" t="s">
        <v>138</v>
      </c>
      <c r="C7" s="17" t="n">
        <v>20</v>
      </c>
      <c r="D7" s="17" t="n">
        <v>15</v>
      </c>
      <c r="E7" s="18" t="n">
        <f aca="false">C7*D7</f>
        <v>300</v>
      </c>
      <c r="F7" s="15" t="n">
        <v>2.25</v>
      </c>
      <c r="G7" s="19" t="n">
        <f aca="false">E7/(F7*(C7+D7))</f>
        <v>3.80952380952381</v>
      </c>
      <c r="H7" s="20" t="n">
        <f aca="false">IFERROR(INDEX(Ref_Tables!$I$5:$I$14,MATCH(G7,Ref_Tables!$H$5:$H$14,1)),Ref_Tables!$I$5)</f>
        <v>0.78</v>
      </c>
      <c r="I7" s="15" t="n">
        <v>0.8</v>
      </c>
      <c r="J7" s="21" t="n">
        <v>300</v>
      </c>
      <c r="K7" s="13" t="s">
        <v>139</v>
      </c>
      <c r="L7" s="21" t="n">
        <v>3600</v>
      </c>
      <c r="M7" s="21" t="n">
        <v>36</v>
      </c>
      <c r="N7" s="22" t="n">
        <f aca="false">ROUNDUP(J7*E7/(L7*H7*I7),0)</f>
        <v>41</v>
      </c>
      <c r="O7" s="18" t="n">
        <f aca="false">N7*L7*H7*I7/E7</f>
        <v>307.008</v>
      </c>
      <c r="P7" s="23" t="n">
        <f aca="false">N7*M7</f>
        <v>1476</v>
      </c>
      <c r="Q7" s="19" t="n">
        <f aca="false">P7/E7</f>
        <v>4.92</v>
      </c>
      <c r="R7" s="17" t="n">
        <v>9.5</v>
      </c>
      <c r="S7" s="12" t="str">
        <f aca="false">IF(AND(O7&gt;=J7,Q7&lt;=R7),"OK","CHECK")</f>
        <v>OK</v>
      </c>
    </row>
    <row r="8" customFormat="false" ht="15" hidden="false" customHeight="false" outlineLevel="0" collapsed="false">
      <c r="A8" s="13" t="s">
        <v>134</v>
      </c>
      <c r="B8" s="13" t="s">
        <v>140</v>
      </c>
      <c r="C8" s="17" t="n">
        <v>10</v>
      </c>
      <c r="D8" s="17" t="n">
        <v>5</v>
      </c>
      <c r="E8" s="18" t="n">
        <f aca="false">C8*D8</f>
        <v>50</v>
      </c>
      <c r="F8" s="15" t="n">
        <v>2.25</v>
      </c>
      <c r="G8" s="19" t="n">
        <f aca="false">E8/(F8*(C8+D8))</f>
        <v>1.48148148148148</v>
      </c>
      <c r="H8" s="20" t="n">
        <f aca="false">IFERROR(INDEX(Ref_Tables!$I$5:$I$14,MATCH(G8,Ref_Tables!$H$5:$H$14,1)),Ref_Tables!$I$5)</f>
        <v>0.63</v>
      </c>
      <c r="I8" s="15" t="n">
        <v>0.8</v>
      </c>
      <c r="J8" s="21" t="n">
        <v>150</v>
      </c>
      <c r="K8" s="13" t="s">
        <v>141</v>
      </c>
      <c r="L8" s="21" t="n">
        <v>2000</v>
      </c>
      <c r="M8" s="21" t="n">
        <v>20</v>
      </c>
      <c r="N8" s="22" t="n">
        <f aca="false">ROUNDUP(J8*E8/(L8*H8*I8),0)</f>
        <v>8</v>
      </c>
      <c r="O8" s="18" t="n">
        <f aca="false">N8*L8*H8*I8/E8</f>
        <v>161.28</v>
      </c>
      <c r="P8" s="23" t="n">
        <f aca="false">N8*M8</f>
        <v>160</v>
      </c>
      <c r="Q8" s="19" t="n">
        <f aca="false">P8/E8</f>
        <v>3.2</v>
      </c>
      <c r="R8" s="17" t="n">
        <v>9.5</v>
      </c>
      <c r="S8" s="12" t="str">
        <f aca="false">IF(AND(O8&gt;=J8,Q8&lt;=R8),"OK","CHECK")</f>
        <v>OK</v>
      </c>
    </row>
    <row r="9" customFormat="false" ht="15" hidden="false" customHeight="false" outlineLevel="0" collapsed="false">
      <c r="A9" s="13" t="s">
        <v>142</v>
      </c>
      <c r="B9" s="13" t="s">
        <v>138</v>
      </c>
      <c r="C9" s="17" t="n">
        <v>25</v>
      </c>
      <c r="D9" s="17" t="n">
        <v>18</v>
      </c>
      <c r="E9" s="18" t="n">
        <f aca="false">C9*D9</f>
        <v>450</v>
      </c>
      <c r="F9" s="15" t="n">
        <v>2.25</v>
      </c>
      <c r="G9" s="19" t="n">
        <f aca="false">E9/(F9*(C9+D9))</f>
        <v>4.65116279069768</v>
      </c>
      <c r="H9" s="20" t="n">
        <f aca="false">IFERROR(INDEX(Ref_Tables!$I$5:$I$14,MATCH(G9,Ref_Tables!$H$5:$H$14,1)),Ref_Tables!$I$5)</f>
        <v>0.81</v>
      </c>
      <c r="I9" s="15" t="n">
        <v>0.8</v>
      </c>
      <c r="J9" s="21" t="n">
        <v>300</v>
      </c>
      <c r="K9" s="13" t="s">
        <v>139</v>
      </c>
      <c r="L9" s="21" t="n">
        <v>3600</v>
      </c>
      <c r="M9" s="21" t="n">
        <v>36</v>
      </c>
      <c r="N9" s="22" t="n">
        <f aca="false">ROUNDUP(J9*E9/(L9*H9*I9),0)</f>
        <v>58</v>
      </c>
      <c r="O9" s="18" t="n">
        <f aca="false">N9*L9*H9*I9/E9</f>
        <v>300.672</v>
      </c>
      <c r="P9" s="23" t="n">
        <f aca="false">N9*M9</f>
        <v>2088</v>
      </c>
      <c r="Q9" s="19" t="n">
        <f aca="false">P9/E9</f>
        <v>4.64</v>
      </c>
      <c r="R9" s="17" t="n">
        <v>9.5</v>
      </c>
      <c r="S9" s="12" t="str">
        <f aca="false">IF(AND(O9&gt;=J9,Q9&lt;=R9),"OK","CHECK")</f>
        <v>OK</v>
      </c>
    </row>
    <row r="10" customFormat="false" ht="15" hidden="false" customHeight="false" outlineLevel="0" collapsed="false">
      <c r="A10" s="13" t="s">
        <v>142</v>
      </c>
      <c r="B10" s="13" t="s">
        <v>143</v>
      </c>
      <c r="C10" s="17" t="n">
        <v>10</v>
      </c>
      <c r="D10" s="17" t="n">
        <v>8</v>
      </c>
      <c r="E10" s="18" t="n">
        <f aca="false">C10*D10</f>
        <v>80</v>
      </c>
      <c r="F10" s="15" t="n">
        <v>2.25</v>
      </c>
      <c r="G10" s="19" t="n">
        <f aca="false">E10/(F10*(C10+D10))</f>
        <v>1.97530864197531</v>
      </c>
      <c r="H10" s="20" t="n">
        <f aca="false">IFERROR(INDEX(Ref_Tables!$I$5:$I$14,MATCH(G10,Ref_Tables!$H$5:$H$14,1)),Ref_Tables!$I$5)</f>
        <v>0.67</v>
      </c>
      <c r="I10" s="15" t="n">
        <v>0.8</v>
      </c>
      <c r="J10" s="21" t="n">
        <v>300</v>
      </c>
      <c r="K10" s="13" t="s">
        <v>139</v>
      </c>
      <c r="L10" s="21" t="n">
        <v>3600</v>
      </c>
      <c r="M10" s="21" t="n">
        <v>36</v>
      </c>
      <c r="N10" s="22" t="n">
        <f aca="false">ROUNDUP(J10*E10/(L10*H10*I10),0)</f>
        <v>13</v>
      </c>
      <c r="O10" s="18" t="n">
        <f aca="false">N10*L10*H10*I10/E10</f>
        <v>313.56</v>
      </c>
      <c r="P10" s="23" t="n">
        <f aca="false">N10*M10</f>
        <v>468</v>
      </c>
      <c r="Q10" s="19" t="n">
        <f aca="false">P10/E10</f>
        <v>5.85</v>
      </c>
      <c r="R10" s="17" t="n">
        <v>9.5</v>
      </c>
      <c r="S10" s="12" t="str">
        <f aca="false">IF(AND(O10&gt;=J10,Q10&lt;=R10),"OK","CHECK")</f>
        <v>OK</v>
      </c>
    </row>
    <row r="11" customFormat="false" ht="15" hidden="false" customHeight="false" outlineLevel="0" collapsed="false">
      <c r="A11" s="13" t="s">
        <v>142</v>
      </c>
      <c r="B11" s="13" t="s">
        <v>144</v>
      </c>
      <c r="C11" s="17" t="n">
        <v>10</v>
      </c>
      <c r="D11" s="17" t="n">
        <v>7</v>
      </c>
      <c r="E11" s="18" t="n">
        <f aca="false">C11*D11</f>
        <v>70</v>
      </c>
      <c r="F11" s="15" t="n">
        <v>2.25</v>
      </c>
      <c r="G11" s="19" t="n">
        <f aca="false">E11/(F11*(C11+D11))</f>
        <v>1.83006535947712</v>
      </c>
      <c r="H11" s="20" t="n">
        <f aca="false">IFERROR(INDEX(Ref_Tables!$I$5:$I$14,MATCH(G11,Ref_Tables!$H$5:$H$14,1)),Ref_Tables!$I$5)</f>
        <v>0.67</v>
      </c>
      <c r="I11" s="15" t="n">
        <v>0.8</v>
      </c>
      <c r="J11" s="21" t="n">
        <v>300</v>
      </c>
      <c r="K11" s="13" t="s">
        <v>139</v>
      </c>
      <c r="L11" s="21" t="n">
        <v>3600</v>
      </c>
      <c r="M11" s="21" t="n">
        <v>36</v>
      </c>
      <c r="N11" s="22" t="n">
        <f aca="false">ROUNDUP(J11*E11/(L11*H11*I11),0)</f>
        <v>11</v>
      </c>
      <c r="O11" s="18" t="n">
        <f aca="false">N11*L11*H11*I11/E11</f>
        <v>303.222857142857</v>
      </c>
      <c r="P11" s="23" t="n">
        <f aca="false">N11*M11</f>
        <v>396</v>
      </c>
      <c r="Q11" s="19" t="n">
        <f aca="false">P11/E11</f>
        <v>5.65714285714286</v>
      </c>
      <c r="R11" s="17" t="n">
        <v>9.5</v>
      </c>
      <c r="S11" s="12" t="str">
        <f aca="false">IF(AND(O11&gt;=J11,Q11&lt;=R11),"OK","CHECK")</f>
        <v>OK</v>
      </c>
    </row>
    <row r="12" customFormat="false" ht="15" hidden="false" customHeight="false" outlineLevel="0" collapsed="false">
      <c r="A12" s="13" t="s">
        <v>145</v>
      </c>
      <c r="B12" s="13" t="s">
        <v>138</v>
      </c>
      <c r="C12" s="17" t="n">
        <v>25</v>
      </c>
      <c r="D12" s="17" t="n">
        <v>18</v>
      </c>
      <c r="E12" s="18" t="n">
        <f aca="false">C12*D12</f>
        <v>450</v>
      </c>
      <c r="F12" s="15" t="n">
        <v>2.25</v>
      </c>
      <c r="G12" s="19" t="n">
        <f aca="false">E12/(F12*(C12+D12))</f>
        <v>4.65116279069768</v>
      </c>
      <c r="H12" s="20" t="n">
        <f aca="false">IFERROR(INDEX(Ref_Tables!$I$5:$I$14,MATCH(G12,Ref_Tables!$H$5:$H$14,1)),Ref_Tables!$I$5)</f>
        <v>0.81</v>
      </c>
      <c r="I12" s="15" t="n">
        <v>0.8</v>
      </c>
      <c r="J12" s="21" t="n">
        <v>300</v>
      </c>
      <c r="K12" s="13" t="s">
        <v>139</v>
      </c>
      <c r="L12" s="21" t="n">
        <v>3600</v>
      </c>
      <c r="M12" s="21" t="n">
        <v>36</v>
      </c>
      <c r="N12" s="22" t="n">
        <f aca="false">ROUNDUP(J12*E12/(L12*H12*I12),0)</f>
        <v>58</v>
      </c>
      <c r="O12" s="18" t="n">
        <f aca="false">N12*L12*H12*I12/E12</f>
        <v>300.672</v>
      </c>
      <c r="P12" s="23" t="n">
        <f aca="false">N12*M12</f>
        <v>2088</v>
      </c>
      <c r="Q12" s="19" t="n">
        <f aca="false">P12/E12</f>
        <v>4.64</v>
      </c>
      <c r="R12" s="17" t="n">
        <v>9.5</v>
      </c>
      <c r="S12" s="12" t="str">
        <f aca="false">IF(AND(O12&gt;=J12,Q12&lt;=R12),"OK","CHECK")</f>
        <v>OK</v>
      </c>
    </row>
    <row r="13" customFormat="false" ht="15" hidden="false" customHeight="false" outlineLevel="0" collapsed="false">
      <c r="A13" s="13" t="s">
        <v>145</v>
      </c>
      <c r="B13" s="13" t="s">
        <v>143</v>
      </c>
      <c r="C13" s="17" t="n">
        <v>10</v>
      </c>
      <c r="D13" s="17" t="n">
        <v>8</v>
      </c>
      <c r="E13" s="18" t="n">
        <f aca="false">C13*D13</f>
        <v>80</v>
      </c>
      <c r="F13" s="15" t="n">
        <v>2.25</v>
      </c>
      <c r="G13" s="19" t="n">
        <f aca="false">E13/(F13*(C13+D13))</f>
        <v>1.97530864197531</v>
      </c>
      <c r="H13" s="20" t="n">
        <f aca="false">IFERROR(INDEX(Ref_Tables!$I$5:$I$14,MATCH(G13,Ref_Tables!$H$5:$H$14,1)),Ref_Tables!$I$5)</f>
        <v>0.67</v>
      </c>
      <c r="I13" s="15" t="n">
        <v>0.8</v>
      </c>
      <c r="J13" s="21" t="n">
        <v>300</v>
      </c>
      <c r="K13" s="13" t="s">
        <v>139</v>
      </c>
      <c r="L13" s="21" t="n">
        <v>3600</v>
      </c>
      <c r="M13" s="21" t="n">
        <v>36</v>
      </c>
      <c r="N13" s="22" t="n">
        <f aca="false">ROUNDUP(J13*E13/(L13*H13*I13),0)</f>
        <v>13</v>
      </c>
      <c r="O13" s="18" t="n">
        <f aca="false">N13*L13*H13*I13/E13</f>
        <v>313.56</v>
      </c>
      <c r="P13" s="23" t="n">
        <f aca="false">N13*M13</f>
        <v>468</v>
      </c>
      <c r="Q13" s="19" t="n">
        <f aca="false">P13/E13</f>
        <v>5.85</v>
      </c>
      <c r="R13" s="17" t="n">
        <v>9.5</v>
      </c>
      <c r="S13" s="12" t="str">
        <f aca="false">IF(AND(O13&gt;=J13,Q13&lt;=R13),"OK","CHECK")</f>
        <v>OK</v>
      </c>
    </row>
    <row r="14" customFormat="false" ht="15" hidden="false" customHeight="false" outlineLevel="0" collapsed="false">
      <c r="A14" s="13" t="s">
        <v>145</v>
      </c>
      <c r="B14" s="13" t="s">
        <v>144</v>
      </c>
      <c r="C14" s="17" t="n">
        <v>10</v>
      </c>
      <c r="D14" s="17" t="n">
        <v>7</v>
      </c>
      <c r="E14" s="18" t="n">
        <f aca="false">C14*D14</f>
        <v>70</v>
      </c>
      <c r="F14" s="15" t="n">
        <v>2.25</v>
      </c>
      <c r="G14" s="19" t="n">
        <f aca="false">E14/(F14*(C14+D14))</f>
        <v>1.83006535947712</v>
      </c>
      <c r="H14" s="20" t="n">
        <f aca="false">IFERROR(INDEX(Ref_Tables!$I$5:$I$14,MATCH(G14,Ref_Tables!$H$5:$H$14,1)),Ref_Tables!$I$5)</f>
        <v>0.67</v>
      </c>
      <c r="I14" s="15" t="n">
        <v>0.8</v>
      </c>
      <c r="J14" s="21" t="n">
        <v>300</v>
      </c>
      <c r="K14" s="13" t="s">
        <v>139</v>
      </c>
      <c r="L14" s="21" t="n">
        <v>3600</v>
      </c>
      <c r="M14" s="21" t="n">
        <v>36</v>
      </c>
      <c r="N14" s="22" t="n">
        <f aca="false">ROUNDUP(J14*E14/(L14*H14*I14),0)</f>
        <v>11</v>
      </c>
      <c r="O14" s="18" t="n">
        <f aca="false">N14*L14*H14*I14/E14</f>
        <v>303.222857142857</v>
      </c>
      <c r="P14" s="23" t="n">
        <f aca="false">N14*M14</f>
        <v>396</v>
      </c>
      <c r="Q14" s="19" t="n">
        <f aca="false">P14/E14</f>
        <v>5.65714285714286</v>
      </c>
      <c r="R14" s="17" t="n">
        <v>9.5</v>
      </c>
      <c r="S14" s="12" t="str">
        <f aca="false">IF(AND(O14&gt;=J14,Q14&lt;=R14),"OK","CHECK")</f>
        <v>OK</v>
      </c>
    </row>
    <row r="15" customFormat="false" ht="15" hidden="false" customHeight="false" outlineLevel="0" collapsed="false">
      <c r="B15" s="24" t="s">
        <v>146</v>
      </c>
      <c r="E15" s="25" t="n">
        <f aca="false">SUM(E5:E14)</f>
        <v>1800</v>
      </c>
      <c r="N15" s="25" t="n">
        <f aca="false">SUM(N5:N14)</f>
        <v>256</v>
      </c>
      <c r="P15" s="25" t="n">
        <f aca="false">SUM(P5:P14)</f>
        <v>8314</v>
      </c>
      <c r="Q15" s="26" t="n">
        <f aca="false">P15/E15</f>
        <v>4.61888888888889</v>
      </c>
    </row>
    <row r="17" customFormat="false" ht="15" hidden="false" customHeight="false" outlineLevel="0" collapsed="false">
      <c r="A17" s="2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6"/>
    <col collapsed="false" customWidth="true" hidden="false" outlineLevel="0" max="9" min="9" style="0" width="7"/>
    <col collapsed="false" customWidth="true" hidden="false" outlineLevel="0" max="12" min="10" style="0" width="9"/>
    <col collapsed="false" customWidth="true" hidden="false" outlineLevel="0" max="13" min="13" style="0" width="8"/>
    <col collapsed="false" customWidth="true" hidden="false" outlineLevel="0" max="14" min="14" style="0" width="7"/>
    <col collapsed="false" customWidth="true" hidden="false" outlineLevel="0" max="16" min="15" style="0" width="9"/>
    <col collapsed="false" customWidth="true" hidden="false" outlineLevel="0" max="17" min="17" style="0" width="7"/>
    <col collapsed="false" customWidth="true" hidden="false" outlineLevel="0" max="18" min="18" style="0" width="40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42" hidden="false" customHeight="true" outlineLevel="0" collapsed="false">
      <c r="A4" s="11" t="s">
        <v>150</v>
      </c>
      <c r="B4" s="11" t="s">
        <v>151</v>
      </c>
      <c r="C4" s="11" t="s">
        <v>152</v>
      </c>
      <c r="D4" s="11" t="s">
        <v>153</v>
      </c>
      <c r="E4" s="11" t="s">
        <v>154</v>
      </c>
      <c r="F4" s="11" t="s">
        <v>155</v>
      </c>
      <c r="G4" s="11" t="s">
        <v>156</v>
      </c>
      <c r="H4" s="11" t="s">
        <v>157</v>
      </c>
      <c r="I4" s="11" t="s">
        <v>158</v>
      </c>
      <c r="J4" s="11" t="s">
        <v>159</v>
      </c>
      <c r="K4" s="11" t="s">
        <v>160</v>
      </c>
      <c r="L4" s="11" t="s">
        <v>161</v>
      </c>
      <c r="M4" s="11" t="s">
        <v>162</v>
      </c>
      <c r="N4" s="11" t="s">
        <v>163</v>
      </c>
      <c r="O4" s="11" t="s">
        <v>164</v>
      </c>
      <c r="P4" s="11" t="s">
        <v>165</v>
      </c>
      <c r="Q4" s="11" t="s">
        <v>166</v>
      </c>
      <c r="R4" s="11" t="s">
        <v>167</v>
      </c>
    </row>
    <row r="5" customFormat="false" ht="15" hidden="false" customHeight="false" outlineLevel="0" collapsed="false">
      <c r="A5" s="27" t="n">
        <v>1</v>
      </c>
      <c r="B5" s="13" t="s">
        <v>134</v>
      </c>
      <c r="C5" s="13" t="s">
        <v>168</v>
      </c>
      <c r="D5" s="28" t="s">
        <v>169</v>
      </c>
      <c r="E5" s="21" t="n">
        <v>1</v>
      </c>
      <c r="F5" s="20" t="n">
        <f aca="false">SUMIFS(Lighting!$P$5:$P$14,Lighting!$A$5:$A$14,"GF")/1000</f>
        <v>2.41</v>
      </c>
      <c r="G5" s="19" t="n">
        <f aca="false">E5*F5</f>
        <v>2.41</v>
      </c>
      <c r="H5" s="15" t="n">
        <v>0.9</v>
      </c>
      <c r="I5" s="15" t="n">
        <v>0.9</v>
      </c>
      <c r="J5" s="19" t="n">
        <f aca="false">G5*I5</f>
        <v>2.169</v>
      </c>
      <c r="K5" s="19" t="n">
        <f aca="false">J5*TAN(ACOS(H5))</f>
        <v>1.0504946453933</v>
      </c>
      <c r="L5" s="19" t="n">
        <f aca="false">SQRT(J5^2+K5^2)</f>
        <v>2.41</v>
      </c>
      <c r="M5" s="28" t="s">
        <v>170</v>
      </c>
      <c r="N5" s="15" t="n">
        <v>0.9</v>
      </c>
      <c r="O5" s="19" t="n">
        <f aca="false">IF(M5="Y",G5*N5,0)</f>
        <v>2.169</v>
      </c>
      <c r="P5" s="19" t="n">
        <f aca="false">O5*TAN(ACOS(H5))</f>
        <v>1.0504946453933</v>
      </c>
      <c r="Q5" s="28" t="s">
        <v>171</v>
      </c>
      <c r="R5" s="29" t="s">
        <v>172</v>
      </c>
    </row>
    <row r="6" customFormat="false" ht="15" hidden="false" customHeight="false" outlineLevel="0" collapsed="false">
      <c r="A6" s="27" t="n">
        <v>2</v>
      </c>
      <c r="B6" s="13" t="s">
        <v>134</v>
      </c>
      <c r="C6" s="13" t="s">
        <v>173</v>
      </c>
      <c r="D6" s="28" t="s">
        <v>169</v>
      </c>
      <c r="E6" s="21" t="n">
        <v>40</v>
      </c>
      <c r="F6" s="15" t="n">
        <v>0.1</v>
      </c>
      <c r="G6" s="19" t="n">
        <f aca="false">E6*F6</f>
        <v>4</v>
      </c>
      <c r="H6" s="15" t="n">
        <v>0.8</v>
      </c>
      <c r="I6" s="15" t="n">
        <v>0.3</v>
      </c>
      <c r="J6" s="19" t="n">
        <f aca="false">G6*I6</f>
        <v>1.2</v>
      </c>
      <c r="K6" s="19" t="n">
        <f aca="false">J6*TAN(ACOS(H6))</f>
        <v>0.9</v>
      </c>
      <c r="L6" s="19" t="n">
        <f aca="false">SQRT(J6^2+K6^2)</f>
        <v>1.5</v>
      </c>
      <c r="M6" s="28" t="s">
        <v>170</v>
      </c>
      <c r="N6" s="15" t="n">
        <v>0.3</v>
      </c>
      <c r="O6" s="19" t="n">
        <f aca="false">IF(M6="Y",G6*N6,0)</f>
        <v>1.2</v>
      </c>
      <c r="P6" s="19" t="n">
        <f aca="false">O6*TAN(ACOS(H6))</f>
        <v>0.9</v>
      </c>
      <c r="Q6" s="28" t="s">
        <v>171</v>
      </c>
      <c r="R6" s="29"/>
    </row>
    <row r="7" customFormat="false" ht="15" hidden="false" customHeight="false" outlineLevel="0" collapsed="false">
      <c r="A7" s="27" t="n">
        <v>3</v>
      </c>
      <c r="B7" s="13" t="s">
        <v>134</v>
      </c>
      <c r="C7" s="13" t="s">
        <v>174</v>
      </c>
      <c r="D7" s="28" t="s">
        <v>169</v>
      </c>
      <c r="E7" s="21" t="n">
        <v>8</v>
      </c>
      <c r="F7" s="15" t="n">
        <v>1</v>
      </c>
      <c r="G7" s="19" t="n">
        <f aca="false">E7*F7</f>
        <v>8</v>
      </c>
      <c r="H7" s="15" t="n">
        <v>0.8</v>
      </c>
      <c r="I7" s="15" t="n">
        <v>0.4</v>
      </c>
      <c r="J7" s="19" t="n">
        <f aca="false">G7*I7</f>
        <v>3.2</v>
      </c>
      <c r="K7" s="19" t="n">
        <f aca="false">J7*TAN(ACOS(H7))</f>
        <v>2.4</v>
      </c>
      <c r="L7" s="19" t="n">
        <f aca="false">SQRT(J7^2+K7^2)</f>
        <v>4</v>
      </c>
      <c r="M7" s="28" t="s">
        <v>170</v>
      </c>
      <c r="N7" s="15" t="n">
        <v>0.4</v>
      </c>
      <c r="O7" s="19" t="n">
        <f aca="false">IF(M7="Y",G7*N7,0)</f>
        <v>3.2</v>
      </c>
      <c r="P7" s="19" t="n">
        <f aca="false">O7*TAN(ACOS(H7))</f>
        <v>2.4</v>
      </c>
      <c r="Q7" s="28" t="s">
        <v>171</v>
      </c>
      <c r="R7" s="29"/>
    </row>
    <row r="8" customFormat="false" ht="15" hidden="false" customHeight="false" outlineLevel="0" collapsed="false">
      <c r="A8" s="27" t="n">
        <v>4</v>
      </c>
      <c r="B8" s="13" t="s">
        <v>134</v>
      </c>
      <c r="C8" s="13" t="s">
        <v>175</v>
      </c>
      <c r="D8" s="28" t="s">
        <v>169</v>
      </c>
      <c r="E8" s="21" t="n">
        <v>1</v>
      </c>
      <c r="F8" s="15" t="n">
        <v>15</v>
      </c>
      <c r="G8" s="19" t="n">
        <f aca="false">E8*F8</f>
        <v>15</v>
      </c>
      <c r="H8" s="15" t="n">
        <v>0.9</v>
      </c>
      <c r="I8" s="15" t="n">
        <v>0.6</v>
      </c>
      <c r="J8" s="19" t="n">
        <f aca="false">G8*I8</f>
        <v>9</v>
      </c>
      <c r="K8" s="19" t="n">
        <f aca="false">J8*TAN(ACOS(H8))</f>
        <v>4.35889894354067</v>
      </c>
      <c r="L8" s="19" t="n">
        <f aca="false">SQRT(J8^2+K8^2)</f>
        <v>10</v>
      </c>
      <c r="M8" s="28" t="s">
        <v>170</v>
      </c>
      <c r="N8" s="15" t="n">
        <v>0.6</v>
      </c>
      <c r="O8" s="19" t="n">
        <f aca="false">IF(M8="Y",G8*N8,0)</f>
        <v>9</v>
      </c>
      <c r="P8" s="19" t="n">
        <f aca="false">O8*TAN(ACOS(H8))</f>
        <v>4.35889894354067</v>
      </c>
      <c r="Q8" s="28" t="s">
        <v>171</v>
      </c>
      <c r="R8" s="29"/>
    </row>
    <row r="9" customFormat="false" ht="15" hidden="false" customHeight="false" outlineLevel="0" collapsed="false">
      <c r="A9" s="27" t="n">
        <v>5</v>
      </c>
      <c r="B9" s="13" t="s">
        <v>134</v>
      </c>
      <c r="C9" s="13" t="s">
        <v>176</v>
      </c>
      <c r="D9" s="28" t="s">
        <v>169</v>
      </c>
      <c r="E9" s="21" t="n">
        <v>4</v>
      </c>
      <c r="F9" s="15" t="n">
        <v>0.1</v>
      </c>
      <c r="G9" s="19" t="n">
        <f aca="false">E9*F9</f>
        <v>0.4</v>
      </c>
      <c r="H9" s="15" t="n">
        <v>0.8</v>
      </c>
      <c r="I9" s="15" t="n">
        <v>1</v>
      </c>
      <c r="J9" s="19" t="n">
        <f aca="false">G9*I9</f>
        <v>0.4</v>
      </c>
      <c r="K9" s="19" t="n">
        <f aca="false">J9*TAN(ACOS(H9))</f>
        <v>0.3</v>
      </c>
      <c r="L9" s="19" t="n">
        <f aca="false">SQRT(J9^2+K9^2)</f>
        <v>0.5</v>
      </c>
      <c r="M9" s="28" t="s">
        <v>170</v>
      </c>
      <c r="N9" s="15" t="n">
        <v>1</v>
      </c>
      <c r="O9" s="19" t="n">
        <f aca="false">IF(M9="Y",G9*N9,0)</f>
        <v>0.4</v>
      </c>
      <c r="P9" s="19" t="n">
        <f aca="false">O9*TAN(ACOS(H9))</f>
        <v>0.3</v>
      </c>
      <c r="Q9" s="28" t="s">
        <v>171</v>
      </c>
      <c r="R9" s="29"/>
    </row>
    <row r="10" customFormat="false" ht="15" hidden="false" customHeight="false" outlineLevel="0" collapsed="false">
      <c r="A10" s="27" t="n">
        <v>6</v>
      </c>
      <c r="B10" s="13" t="s">
        <v>134</v>
      </c>
      <c r="C10" s="13" t="s">
        <v>177</v>
      </c>
      <c r="D10" s="28" t="s">
        <v>169</v>
      </c>
      <c r="E10" s="21" t="n">
        <v>1</v>
      </c>
      <c r="F10" s="15" t="n">
        <v>2.5</v>
      </c>
      <c r="G10" s="19" t="n">
        <f aca="false">E10*F10</f>
        <v>2.5</v>
      </c>
      <c r="H10" s="15" t="n">
        <v>0.85</v>
      </c>
      <c r="I10" s="15" t="n">
        <v>1</v>
      </c>
      <c r="J10" s="19" t="n">
        <f aca="false">G10*I10</f>
        <v>2.5</v>
      </c>
      <c r="K10" s="19" t="n">
        <f aca="false">J10*TAN(ACOS(H10))</f>
        <v>1.54936084600776</v>
      </c>
      <c r="L10" s="19" t="n">
        <f aca="false">SQRT(J10^2+K10^2)</f>
        <v>2.94117647058824</v>
      </c>
      <c r="M10" s="28" t="s">
        <v>170</v>
      </c>
      <c r="N10" s="15" t="n">
        <v>1</v>
      </c>
      <c r="O10" s="19" t="n">
        <f aca="false">IF(M10="Y",G10*N10,0)</f>
        <v>2.5</v>
      </c>
      <c r="P10" s="19" t="n">
        <f aca="false">O10*TAN(ACOS(H10))</f>
        <v>1.54936084600776</v>
      </c>
      <c r="Q10" s="28" t="s">
        <v>171</v>
      </c>
      <c r="R10" s="29"/>
    </row>
    <row r="11" customFormat="false" ht="15" hidden="false" customHeight="false" outlineLevel="0" collapsed="false">
      <c r="A11" s="27" t="n">
        <v>7</v>
      </c>
      <c r="B11" s="13" t="s">
        <v>134</v>
      </c>
      <c r="C11" s="13" t="s">
        <v>178</v>
      </c>
      <c r="D11" s="28" t="s">
        <v>179</v>
      </c>
      <c r="E11" s="21" t="n">
        <v>25</v>
      </c>
      <c r="F11" s="15" t="n">
        <v>0.15</v>
      </c>
      <c r="G11" s="19" t="n">
        <f aca="false">E11*F11</f>
        <v>3.75</v>
      </c>
      <c r="H11" s="15" t="n">
        <v>0.9</v>
      </c>
      <c r="I11" s="15" t="n">
        <v>0.8</v>
      </c>
      <c r="J11" s="19" t="n">
        <f aca="false">G11*I11</f>
        <v>3</v>
      </c>
      <c r="K11" s="19" t="n">
        <f aca="false">J11*TAN(ACOS(H11))</f>
        <v>1.45296631451356</v>
      </c>
      <c r="L11" s="19" t="n">
        <f aca="false">SQRT(J11^2+K11^2)</f>
        <v>3.33333333333333</v>
      </c>
      <c r="M11" s="28" t="s">
        <v>170</v>
      </c>
      <c r="N11" s="15" t="n">
        <v>0.8</v>
      </c>
      <c r="O11" s="19" t="n">
        <f aca="false">IF(M11="Y",G11*N11,0)</f>
        <v>3</v>
      </c>
      <c r="P11" s="19" t="n">
        <f aca="false">O11*TAN(ACOS(H11))</f>
        <v>1.45296631451356</v>
      </c>
      <c r="Q11" s="28" t="s">
        <v>170</v>
      </c>
      <c r="R11" s="29" t="s">
        <v>180</v>
      </c>
    </row>
    <row r="12" customFormat="false" ht="15" hidden="false" customHeight="false" outlineLevel="0" collapsed="false">
      <c r="A12" s="27" t="n">
        <v>8</v>
      </c>
      <c r="B12" s="13" t="s">
        <v>134</v>
      </c>
      <c r="C12" s="13" t="s">
        <v>181</v>
      </c>
      <c r="D12" s="28" t="s">
        <v>179</v>
      </c>
      <c r="E12" s="21" t="n">
        <v>1</v>
      </c>
      <c r="F12" s="15" t="n">
        <v>5</v>
      </c>
      <c r="G12" s="19" t="n">
        <f aca="false">E12*F12</f>
        <v>5</v>
      </c>
      <c r="H12" s="15" t="n">
        <v>0.9</v>
      </c>
      <c r="I12" s="15" t="n">
        <v>1</v>
      </c>
      <c r="J12" s="19" t="n">
        <f aca="false">G12*I12</f>
        <v>5</v>
      </c>
      <c r="K12" s="19" t="n">
        <f aca="false">J12*TAN(ACOS(H12))</f>
        <v>2.42161052418926</v>
      </c>
      <c r="L12" s="19" t="n">
        <f aca="false">SQRT(J12^2+K12^2)</f>
        <v>5.55555555555556</v>
      </c>
      <c r="M12" s="28" t="s">
        <v>170</v>
      </c>
      <c r="N12" s="15" t="n">
        <v>1</v>
      </c>
      <c r="O12" s="19" t="n">
        <f aca="false">IF(M12="Y",G12*N12,0)</f>
        <v>5</v>
      </c>
      <c r="P12" s="19" t="n">
        <f aca="false">O12*TAN(ACOS(H12))</f>
        <v>2.42161052418926</v>
      </c>
      <c r="Q12" s="28" t="s">
        <v>170</v>
      </c>
      <c r="R12" s="29" t="s">
        <v>180</v>
      </c>
    </row>
    <row r="13" customFormat="false" ht="15" hidden="false" customHeight="false" outlineLevel="0" collapsed="false">
      <c r="A13" s="27" t="n">
        <v>9</v>
      </c>
      <c r="B13" s="13" t="s">
        <v>142</v>
      </c>
      <c r="C13" s="13" t="s">
        <v>168</v>
      </c>
      <c r="D13" s="28" t="s">
        <v>182</v>
      </c>
      <c r="E13" s="21" t="n">
        <v>1</v>
      </c>
      <c r="F13" s="20" t="n">
        <f aca="false">SUMIFS(Lighting!$P$5:$P$14,Lighting!$A$5:$A$14,"FF")/1000</f>
        <v>2.952</v>
      </c>
      <c r="G13" s="19" t="n">
        <f aca="false">E13*F13</f>
        <v>2.952</v>
      </c>
      <c r="H13" s="15" t="n">
        <v>0.9</v>
      </c>
      <c r="I13" s="15" t="n">
        <v>0.9</v>
      </c>
      <c r="J13" s="19" t="n">
        <f aca="false">G13*I13</f>
        <v>2.6568</v>
      </c>
      <c r="K13" s="19" t="n">
        <f aca="false">J13*TAN(ACOS(H13))</f>
        <v>1.28674696813321</v>
      </c>
      <c r="L13" s="19" t="n">
        <f aca="false">SQRT(J13^2+K13^2)</f>
        <v>2.952</v>
      </c>
      <c r="M13" s="28" t="s">
        <v>170</v>
      </c>
      <c r="N13" s="15" t="n">
        <v>0.9</v>
      </c>
      <c r="O13" s="19" t="n">
        <f aca="false">IF(M13="Y",G13*N13,0)</f>
        <v>2.6568</v>
      </c>
      <c r="P13" s="19" t="n">
        <f aca="false">O13*TAN(ACOS(H13))</f>
        <v>1.28674696813321</v>
      </c>
      <c r="Q13" s="28" t="s">
        <v>171</v>
      </c>
      <c r="R13" s="29" t="s">
        <v>172</v>
      </c>
    </row>
    <row r="14" customFormat="false" ht="15" hidden="false" customHeight="false" outlineLevel="0" collapsed="false">
      <c r="A14" s="27" t="n">
        <v>10</v>
      </c>
      <c r="B14" s="13" t="s">
        <v>142</v>
      </c>
      <c r="C14" s="13" t="s">
        <v>173</v>
      </c>
      <c r="D14" s="28" t="s">
        <v>182</v>
      </c>
      <c r="E14" s="21" t="n">
        <v>60</v>
      </c>
      <c r="F14" s="15" t="n">
        <v>0.1</v>
      </c>
      <c r="G14" s="19" t="n">
        <f aca="false">E14*F14</f>
        <v>6</v>
      </c>
      <c r="H14" s="15" t="n">
        <v>0.8</v>
      </c>
      <c r="I14" s="15" t="n">
        <v>0.3</v>
      </c>
      <c r="J14" s="19" t="n">
        <f aca="false">G14*I14</f>
        <v>1.8</v>
      </c>
      <c r="K14" s="19" t="n">
        <f aca="false">J14*TAN(ACOS(H14))</f>
        <v>1.35</v>
      </c>
      <c r="L14" s="19" t="n">
        <f aca="false">SQRT(J14^2+K14^2)</f>
        <v>2.25</v>
      </c>
      <c r="M14" s="28" t="s">
        <v>170</v>
      </c>
      <c r="N14" s="15" t="n">
        <v>0.3</v>
      </c>
      <c r="O14" s="19" t="n">
        <f aca="false">IF(M14="Y",G14*N14,0)</f>
        <v>1.8</v>
      </c>
      <c r="P14" s="19" t="n">
        <f aca="false">O14*TAN(ACOS(H14))</f>
        <v>1.35</v>
      </c>
      <c r="Q14" s="28" t="s">
        <v>171</v>
      </c>
      <c r="R14" s="29"/>
    </row>
    <row r="15" customFormat="false" ht="15" hidden="false" customHeight="false" outlineLevel="0" collapsed="false">
      <c r="A15" s="27" t="n">
        <v>11</v>
      </c>
      <c r="B15" s="13" t="s">
        <v>142</v>
      </c>
      <c r="C15" s="13" t="s">
        <v>174</v>
      </c>
      <c r="D15" s="28" t="s">
        <v>182</v>
      </c>
      <c r="E15" s="21" t="n">
        <v>10</v>
      </c>
      <c r="F15" s="15" t="n">
        <v>1</v>
      </c>
      <c r="G15" s="19" t="n">
        <f aca="false">E15*F15</f>
        <v>10</v>
      </c>
      <c r="H15" s="15" t="n">
        <v>0.8</v>
      </c>
      <c r="I15" s="15" t="n">
        <v>0.4</v>
      </c>
      <c r="J15" s="19" t="n">
        <f aca="false">G15*I15</f>
        <v>4</v>
      </c>
      <c r="K15" s="19" t="n">
        <f aca="false">J15*TAN(ACOS(H15))</f>
        <v>3</v>
      </c>
      <c r="L15" s="19" t="n">
        <f aca="false">SQRT(J15^2+K15^2)</f>
        <v>5</v>
      </c>
      <c r="M15" s="28" t="s">
        <v>170</v>
      </c>
      <c r="N15" s="15" t="n">
        <v>0.4</v>
      </c>
      <c r="O15" s="19" t="n">
        <f aca="false">IF(M15="Y",G15*N15,0)</f>
        <v>4</v>
      </c>
      <c r="P15" s="19" t="n">
        <f aca="false">O15*TAN(ACOS(H15))</f>
        <v>3</v>
      </c>
      <c r="Q15" s="28" t="s">
        <v>171</v>
      </c>
      <c r="R15" s="29"/>
    </row>
    <row r="16" customFormat="false" ht="15" hidden="false" customHeight="false" outlineLevel="0" collapsed="false">
      <c r="A16" s="27" t="n">
        <v>12</v>
      </c>
      <c r="B16" s="13" t="s">
        <v>142</v>
      </c>
      <c r="C16" s="13" t="s">
        <v>176</v>
      </c>
      <c r="D16" s="28" t="s">
        <v>182</v>
      </c>
      <c r="E16" s="21" t="n">
        <v>4</v>
      </c>
      <c r="F16" s="15" t="n">
        <v>0.1</v>
      </c>
      <c r="G16" s="19" t="n">
        <f aca="false">E16*F16</f>
        <v>0.4</v>
      </c>
      <c r="H16" s="15" t="n">
        <v>0.8</v>
      </c>
      <c r="I16" s="15" t="n">
        <v>1</v>
      </c>
      <c r="J16" s="19" t="n">
        <f aca="false">G16*I16</f>
        <v>0.4</v>
      </c>
      <c r="K16" s="19" t="n">
        <f aca="false">J16*TAN(ACOS(H16))</f>
        <v>0.3</v>
      </c>
      <c r="L16" s="19" t="n">
        <f aca="false">SQRT(J16^2+K16^2)</f>
        <v>0.5</v>
      </c>
      <c r="M16" s="28" t="s">
        <v>170</v>
      </c>
      <c r="N16" s="15" t="n">
        <v>1</v>
      </c>
      <c r="O16" s="19" t="n">
        <f aca="false">IF(M16="Y",G16*N16,0)</f>
        <v>0.4</v>
      </c>
      <c r="P16" s="19" t="n">
        <f aca="false">O16*TAN(ACOS(H16))</f>
        <v>0.3</v>
      </c>
      <c r="Q16" s="28" t="s">
        <v>171</v>
      </c>
      <c r="R16" s="29"/>
    </row>
    <row r="17" customFormat="false" ht="15" hidden="false" customHeight="false" outlineLevel="0" collapsed="false">
      <c r="A17" s="27" t="n">
        <v>13</v>
      </c>
      <c r="B17" s="13" t="s">
        <v>142</v>
      </c>
      <c r="C17" s="13" t="s">
        <v>178</v>
      </c>
      <c r="D17" s="28" t="s">
        <v>179</v>
      </c>
      <c r="E17" s="21" t="n">
        <v>60</v>
      </c>
      <c r="F17" s="15" t="n">
        <v>0.15</v>
      </c>
      <c r="G17" s="19" t="n">
        <f aca="false">E17*F17</f>
        <v>9</v>
      </c>
      <c r="H17" s="15" t="n">
        <v>0.9</v>
      </c>
      <c r="I17" s="15" t="n">
        <v>0.8</v>
      </c>
      <c r="J17" s="19" t="n">
        <f aca="false">G17*I17</f>
        <v>7.2</v>
      </c>
      <c r="K17" s="19" t="n">
        <f aca="false">J17*TAN(ACOS(H17))</f>
        <v>3.48711915483254</v>
      </c>
      <c r="L17" s="19" t="n">
        <f aca="false">SQRT(J17^2+K17^2)</f>
        <v>8</v>
      </c>
      <c r="M17" s="28" t="s">
        <v>170</v>
      </c>
      <c r="N17" s="15" t="n">
        <v>0.8</v>
      </c>
      <c r="O17" s="19" t="n">
        <f aca="false">IF(M17="Y",G17*N17,0)</f>
        <v>7.2</v>
      </c>
      <c r="P17" s="19" t="n">
        <f aca="false">O17*TAN(ACOS(H17))</f>
        <v>3.48711915483254</v>
      </c>
      <c r="Q17" s="28" t="s">
        <v>170</v>
      </c>
      <c r="R17" s="29" t="s">
        <v>180</v>
      </c>
    </row>
    <row r="18" customFormat="false" ht="15" hidden="false" customHeight="false" outlineLevel="0" collapsed="false">
      <c r="A18" s="27" t="n">
        <v>14</v>
      </c>
      <c r="B18" s="13" t="s">
        <v>145</v>
      </c>
      <c r="C18" s="13" t="s">
        <v>168</v>
      </c>
      <c r="D18" s="28" t="s">
        <v>183</v>
      </c>
      <c r="E18" s="21" t="n">
        <v>1</v>
      </c>
      <c r="F18" s="20" t="n">
        <f aca="false">SUMIFS(Lighting!$P$5:$P$14,Lighting!$A$5:$A$14,"SF")/1000</f>
        <v>2.952</v>
      </c>
      <c r="G18" s="19" t="n">
        <f aca="false">E18*F18</f>
        <v>2.952</v>
      </c>
      <c r="H18" s="15" t="n">
        <v>0.9</v>
      </c>
      <c r="I18" s="15" t="n">
        <v>0.9</v>
      </c>
      <c r="J18" s="19" t="n">
        <f aca="false">G18*I18</f>
        <v>2.6568</v>
      </c>
      <c r="K18" s="19" t="n">
        <f aca="false">J18*TAN(ACOS(H18))</f>
        <v>1.28674696813321</v>
      </c>
      <c r="L18" s="19" t="n">
        <f aca="false">SQRT(J18^2+K18^2)</f>
        <v>2.952</v>
      </c>
      <c r="M18" s="28" t="s">
        <v>170</v>
      </c>
      <c r="N18" s="15" t="n">
        <v>0.9</v>
      </c>
      <c r="O18" s="19" t="n">
        <f aca="false">IF(M18="Y",G18*N18,0)</f>
        <v>2.6568</v>
      </c>
      <c r="P18" s="19" t="n">
        <f aca="false">O18*TAN(ACOS(H18))</f>
        <v>1.28674696813321</v>
      </c>
      <c r="Q18" s="28" t="s">
        <v>171</v>
      </c>
      <c r="R18" s="29" t="s">
        <v>172</v>
      </c>
    </row>
    <row r="19" customFormat="false" ht="15" hidden="false" customHeight="false" outlineLevel="0" collapsed="false">
      <c r="A19" s="27" t="n">
        <v>15</v>
      </c>
      <c r="B19" s="13" t="s">
        <v>145</v>
      </c>
      <c r="C19" s="13" t="s">
        <v>173</v>
      </c>
      <c r="D19" s="28" t="s">
        <v>183</v>
      </c>
      <c r="E19" s="21" t="n">
        <v>60</v>
      </c>
      <c r="F19" s="15" t="n">
        <v>0.1</v>
      </c>
      <c r="G19" s="19" t="n">
        <f aca="false">E19*F19</f>
        <v>6</v>
      </c>
      <c r="H19" s="15" t="n">
        <v>0.8</v>
      </c>
      <c r="I19" s="15" t="n">
        <v>0.3</v>
      </c>
      <c r="J19" s="19" t="n">
        <f aca="false">G19*I19</f>
        <v>1.8</v>
      </c>
      <c r="K19" s="19" t="n">
        <f aca="false">J19*TAN(ACOS(H19))</f>
        <v>1.35</v>
      </c>
      <c r="L19" s="19" t="n">
        <f aca="false">SQRT(J19^2+K19^2)</f>
        <v>2.25</v>
      </c>
      <c r="M19" s="28" t="s">
        <v>170</v>
      </c>
      <c r="N19" s="15" t="n">
        <v>0.3</v>
      </c>
      <c r="O19" s="19" t="n">
        <f aca="false">IF(M19="Y",G19*N19,0)</f>
        <v>1.8</v>
      </c>
      <c r="P19" s="19" t="n">
        <f aca="false">O19*TAN(ACOS(H19))</f>
        <v>1.35</v>
      </c>
      <c r="Q19" s="28" t="s">
        <v>171</v>
      </c>
      <c r="R19" s="29"/>
    </row>
    <row r="20" customFormat="false" ht="15" hidden="false" customHeight="false" outlineLevel="0" collapsed="false">
      <c r="A20" s="27" t="n">
        <v>16</v>
      </c>
      <c r="B20" s="13" t="s">
        <v>145</v>
      </c>
      <c r="C20" s="13" t="s">
        <v>174</v>
      </c>
      <c r="D20" s="28" t="s">
        <v>183</v>
      </c>
      <c r="E20" s="21" t="n">
        <v>10</v>
      </c>
      <c r="F20" s="15" t="n">
        <v>1</v>
      </c>
      <c r="G20" s="19" t="n">
        <f aca="false">E20*F20</f>
        <v>10</v>
      </c>
      <c r="H20" s="15" t="n">
        <v>0.8</v>
      </c>
      <c r="I20" s="15" t="n">
        <v>0.4</v>
      </c>
      <c r="J20" s="19" t="n">
        <f aca="false">G20*I20</f>
        <v>4</v>
      </c>
      <c r="K20" s="19" t="n">
        <f aca="false">J20*TAN(ACOS(H20))</f>
        <v>3</v>
      </c>
      <c r="L20" s="19" t="n">
        <f aca="false">SQRT(J20^2+K20^2)</f>
        <v>5</v>
      </c>
      <c r="M20" s="28" t="s">
        <v>170</v>
      </c>
      <c r="N20" s="15" t="n">
        <v>0.4</v>
      </c>
      <c r="O20" s="19" t="n">
        <f aca="false">IF(M20="Y",G20*N20,0)</f>
        <v>4</v>
      </c>
      <c r="P20" s="19" t="n">
        <f aca="false">O20*TAN(ACOS(H20))</f>
        <v>3</v>
      </c>
      <c r="Q20" s="28" t="s">
        <v>171</v>
      </c>
      <c r="R20" s="29"/>
    </row>
    <row r="21" customFormat="false" ht="15" hidden="false" customHeight="false" outlineLevel="0" collapsed="false">
      <c r="A21" s="27" t="n">
        <v>17</v>
      </c>
      <c r="B21" s="13" t="s">
        <v>145</v>
      </c>
      <c r="C21" s="13" t="s">
        <v>176</v>
      </c>
      <c r="D21" s="28" t="s">
        <v>183</v>
      </c>
      <c r="E21" s="21" t="n">
        <v>4</v>
      </c>
      <c r="F21" s="15" t="n">
        <v>0.1</v>
      </c>
      <c r="G21" s="19" t="n">
        <f aca="false">E21*F21</f>
        <v>0.4</v>
      </c>
      <c r="H21" s="15" t="n">
        <v>0.8</v>
      </c>
      <c r="I21" s="15" t="n">
        <v>1</v>
      </c>
      <c r="J21" s="19" t="n">
        <f aca="false">G21*I21</f>
        <v>0.4</v>
      </c>
      <c r="K21" s="19" t="n">
        <f aca="false">J21*TAN(ACOS(H21))</f>
        <v>0.3</v>
      </c>
      <c r="L21" s="19" t="n">
        <f aca="false">SQRT(J21^2+K21^2)</f>
        <v>0.5</v>
      </c>
      <c r="M21" s="28" t="s">
        <v>170</v>
      </c>
      <c r="N21" s="15" t="n">
        <v>1</v>
      </c>
      <c r="O21" s="19" t="n">
        <f aca="false">IF(M21="Y",G21*N21,0)</f>
        <v>0.4</v>
      </c>
      <c r="P21" s="19" t="n">
        <f aca="false">O21*TAN(ACOS(H21))</f>
        <v>0.3</v>
      </c>
      <c r="Q21" s="28" t="s">
        <v>171</v>
      </c>
      <c r="R21" s="29"/>
    </row>
    <row r="22" customFormat="false" ht="15" hidden="false" customHeight="false" outlineLevel="0" collapsed="false">
      <c r="A22" s="27" t="n">
        <v>18</v>
      </c>
      <c r="B22" s="13" t="s">
        <v>145</v>
      </c>
      <c r="C22" s="13" t="s">
        <v>178</v>
      </c>
      <c r="D22" s="28" t="s">
        <v>179</v>
      </c>
      <c r="E22" s="21" t="n">
        <v>60</v>
      </c>
      <c r="F22" s="15" t="n">
        <v>0.15</v>
      </c>
      <c r="G22" s="19" t="n">
        <f aca="false">E22*F22</f>
        <v>9</v>
      </c>
      <c r="H22" s="15" t="n">
        <v>0.9</v>
      </c>
      <c r="I22" s="15" t="n">
        <v>0.8</v>
      </c>
      <c r="J22" s="19" t="n">
        <f aca="false">G22*I22</f>
        <v>7.2</v>
      </c>
      <c r="K22" s="19" t="n">
        <f aca="false">J22*TAN(ACOS(H22))</f>
        <v>3.48711915483254</v>
      </c>
      <c r="L22" s="19" t="n">
        <f aca="false">SQRT(J22^2+K22^2)</f>
        <v>8</v>
      </c>
      <c r="M22" s="28" t="s">
        <v>170</v>
      </c>
      <c r="N22" s="15" t="n">
        <v>0.8</v>
      </c>
      <c r="O22" s="19" t="n">
        <f aca="false">IF(M22="Y",G22*N22,0)</f>
        <v>7.2</v>
      </c>
      <c r="P22" s="19" t="n">
        <f aca="false">O22*TAN(ACOS(H22))</f>
        <v>3.48711915483254</v>
      </c>
      <c r="Q22" s="28" t="s">
        <v>170</v>
      </c>
      <c r="R22" s="29" t="s">
        <v>180</v>
      </c>
    </row>
    <row r="23" customFormat="false" ht="15" hidden="false" customHeight="false" outlineLevel="0" collapsed="false">
      <c r="A23" s="27" t="n">
        <v>19</v>
      </c>
      <c r="B23" s="13" t="s">
        <v>184</v>
      </c>
      <c r="C23" s="13" t="s">
        <v>185</v>
      </c>
      <c r="D23" s="28" t="s">
        <v>186</v>
      </c>
      <c r="E23" s="21" t="n">
        <v>9</v>
      </c>
      <c r="F23" s="15" t="n">
        <v>10</v>
      </c>
      <c r="G23" s="19" t="n">
        <f aca="false">E23*F23</f>
        <v>90</v>
      </c>
      <c r="H23" s="15" t="n">
        <v>0.9</v>
      </c>
      <c r="I23" s="15" t="n">
        <v>0.85</v>
      </c>
      <c r="J23" s="19" t="n">
        <f aca="false">G23*I23</f>
        <v>76.5</v>
      </c>
      <c r="K23" s="19" t="n">
        <f aca="false">J23*TAN(ACOS(H23))</f>
        <v>37.0506410200957</v>
      </c>
      <c r="L23" s="19" t="n">
        <f aca="false">SQRT(J23^2+K23^2)</f>
        <v>85</v>
      </c>
      <c r="M23" s="28" t="s">
        <v>170</v>
      </c>
      <c r="N23" s="15" t="n">
        <v>0.5</v>
      </c>
      <c r="O23" s="19" t="n">
        <f aca="false">IF(M23="Y",G23*N23,0)</f>
        <v>45</v>
      </c>
      <c r="P23" s="19" t="n">
        <f aca="false">O23*TAN(ACOS(H23))</f>
        <v>21.7944947177034</v>
      </c>
      <c r="Q23" s="28" t="s">
        <v>171</v>
      </c>
      <c r="R23" s="29" t="s">
        <v>187</v>
      </c>
    </row>
    <row r="24" customFormat="false" ht="15" hidden="false" customHeight="false" outlineLevel="0" collapsed="false">
      <c r="A24" s="27" t="n">
        <v>20</v>
      </c>
      <c r="B24" s="13" t="s">
        <v>188</v>
      </c>
      <c r="C24" s="13" t="s">
        <v>189</v>
      </c>
      <c r="D24" s="28" t="s">
        <v>186</v>
      </c>
      <c r="E24" s="21" t="n">
        <v>30</v>
      </c>
      <c r="F24" s="15" t="n">
        <v>0.1</v>
      </c>
      <c r="G24" s="19" t="n">
        <f aca="false">E24*F24</f>
        <v>3</v>
      </c>
      <c r="H24" s="15" t="n">
        <v>0.85</v>
      </c>
      <c r="I24" s="15" t="n">
        <v>0.9</v>
      </c>
      <c r="J24" s="19" t="n">
        <f aca="false">G24*I24</f>
        <v>2.7</v>
      </c>
      <c r="K24" s="19" t="n">
        <f aca="false">J24*TAN(ACOS(H24))</f>
        <v>1.67330971368838</v>
      </c>
      <c r="L24" s="19" t="n">
        <f aca="false">SQRT(J24^2+K24^2)</f>
        <v>3.17647058823529</v>
      </c>
      <c r="M24" s="28" t="s">
        <v>170</v>
      </c>
      <c r="N24" s="15" t="n">
        <v>0.9</v>
      </c>
      <c r="O24" s="19" t="n">
        <f aca="false">IF(M24="Y",G24*N24,0)</f>
        <v>2.7</v>
      </c>
      <c r="P24" s="19" t="n">
        <f aca="false">O24*TAN(ACOS(H24))</f>
        <v>1.67330971368838</v>
      </c>
      <c r="Q24" s="28" t="s">
        <v>171</v>
      </c>
      <c r="R24" s="29"/>
    </row>
    <row r="25" customFormat="false" ht="15" hidden="false" customHeight="false" outlineLevel="0" collapsed="false">
      <c r="A25" s="27" t="n">
        <v>21</v>
      </c>
      <c r="B25" s="13" t="s">
        <v>184</v>
      </c>
      <c r="C25" s="13" t="s">
        <v>190</v>
      </c>
      <c r="D25" s="28" t="s">
        <v>186</v>
      </c>
      <c r="E25" s="21" t="n">
        <v>3</v>
      </c>
      <c r="F25" s="15" t="n">
        <v>1.5</v>
      </c>
      <c r="G25" s="19" t="n">
        <f aca="false">E25*F25</f>
        <v>4.5</v>
      </c>
      <c r="H25" s="15" t="n">
        <v>0.85</v>
      </c>
      <c r="I25" s="15" t="n">
        <v>1</v>
      </c>
      <c r="J25" s="19" t="n">
        <f aca="false">G25*I25</f>
        <v>4.5</v>
      </c>
      <c r="K25" s="19" t="n">
        <f aca="false">J25*TAN(ACOS(H25))</f>
        <v>2.78884952281396</v>
      </c>
      <c r="L25" s="19" t="n">
        <f aca="false">SQRT(J25^2+K25^2)</f>
        <v>5.29411764705882</v>
      </c>
      <c r="M25" s="28" t="s">
        <v>170</v>
      </c>
      <c r="N25" s="15" t="n">
        <v>1</v>
      </c>
      <c r="O25" s="19" t="n">
        <f aca="false">IF(M25="Y",G25*N25,0)</f>
        <v>4.5</v>
      </c>
      <c r="P25" s="19" t="n">
        <f aca="false">O25*TAN(ACOS(H25))</f>
        <v>2.78884952281396</v>
      </c>
      <c r="Q25" s="28" t="s">
        <v>171</v>
      </c>
      <c r="R25" s="29"/>
    </row>
    <row r="26" customFormat="false" ht="15" hidden="false" customHeight="false" outlineLevel="0" collapsed="false">
      <c r="A26" s="27" t="n">
        <v>22</v>
      </c>
      <c r="B26" s="13" t="s">
        <v>191</v>
      </c>
      <c r="C26" s="13" t="s">
        <v>192</v>
      </c>
      <c r="D26" s="28" t="s">
        <v>193</v>
      </c>
      <c r="E26" s="21" t="n">
        <v>1</v>
      </c>
      <c r="F26" s="15" t="n">
        <v>11</v>
      </c>
      <c r="G26" s="19" t="n">
        <f aca="false">E26*F26</f>
        <v>11</v>
      </c>
      <c r="H26" s="15" t="n">
        <v>0.85</v>
      </c>
      <c r="I26" s="15" t="n">
        <v>1</v>
      </c>
      <c r="J26" s="19" t="n">
        <f aca="false">G26*I26</f>
        <v>11</v>
      </c>
      <c r="K26" s="19" t="n">
        <f aca="false">J26*TAN(ACOS(H26))</f>
        <v>6.81718772243413</v>
      </c>
      <c r="L26" s="19" t="n">
        <f aca="false">SQRT(J26^2+K26^2)</f>
        <v>12.9411764705882</v>
      </c>
      <c r="M26" s="28" t="s">
        <v>170</v>
      </c>
      <c r="N26" s="15" t="n">
        <v>1</v>
      </c>
      <c r="O26" s="19" t="n">
        <f aca="false">IF(M26="Y",G26*N26,0)</f>
        <v>11</v>
      </c>
      <c r="P26" s="19" t="n">
        <f aca="false">O26*TAN(ACOS(H26))</f>
        <v>6.81718772243413</v>
      </c>
      <c r="Q26" s="28" t="s">
        <v>171</v>
      </c>
      <c r="R26" s="29"/>
    </row>
    <row r="27" customFormat="false" ht="15" hidden="false" customHeight="false" outlineLevel="0" collapsed="false">
      <c r="A27" s="27" t="n">
        <v>23</v>
      </c>
      <c r="B27" s="13" t="s">
        <v>194</v>
      </c>
      <c r="C27" s="13" t="s">
        <v>195</v>
      </c>
      <c r="D27" s="28" t="s">
        <v>196</v>
      </c>
      <c r="E27" s="21" t="n">
        <v>2</v>
      </c>
      <c r="F27" s="15" t="n">
        <v>3.7</v>
      </c>
      <c r="G27" s="19" t="n">
        <f aca="false">E27*F27</f>
        <v>7.4</v>
      </c>
      <c r="H27" s="15" t="n">
        <v>0.85</v>
      </c>
      <c r="I27" s="15" t="n">
        <v>0.5</v>
      </c>
      <c r="J27" s="19" t="n">
        <f aca="false">G27*I27</f>
        <v>3.7</v>
      </c>
      <c r="K27" s="19" t="n">
        <f aca="false">J27*TAN(ACOS(H27))</f>
        <v>2.29305405209148</v>
      </c>
      <c r="L27" s="19" t="n">
        <f aca="false">SQRT(J27^2+K27^2)</f>
        <v>4.35294117647059</v>
      </c>
      <c r="M27" s="28" t="s">
        <v>170</v>
      </c>
      <c r="N27" s="15" t="n">
        <v>0.5</v>
      </c>
      <c r="O27" s="19" t="n">
        <f aca="false">IF(M27="Y",G27*N27,0)</f>
        <v>3.7</v>
      </c>
      <c r="P27" s="19" t="n">
        <f aca="false">O27*TAN(ACOS(H27))</f>
        <v>2.29305405209148</v>
      </c>
      <c r="Q27" s="28" t="s">
        <v>171</v>
      </c>
      <c r="R27" s="29" t="s">
        <v>197</v>
      </c>
    </row>
    <row r="28" customFormat="false" ht="15" hidden="false" customHeight="false" outlineLevel="0" collapsed="false">
      <c r="A28" s="27" t="n">
        <v>24</v>
      </c>
      <c r="B28" s="13" t="s">
        <v>194</v>
      </c>
      <c r="C28" s="13" t="s">
        <v>198</v>
      </c>
      <c r="D28" s="28" t="s">
        <v>196</v>
      </c>
      <c r="E28" s="21" t="n">
        <v>1</v>
      </c>
      <c r="F28" s="15" t="n">
        <v>5.5</v>
      </c>
      <c r="G28" s="19" t="n">
        <f aca="false">E28*F28</f>
        <v>5.5</v>
      </c>
      <c r="H28" s="15" t="n">
        <v>0.85</v>
      </c>
      <c r="I28" s="15" t="n">
        <v>0.8</v>
      </c>
      <c r="J28" s="19" t="n">
        <f aca="false">G28*I28</f>
        <v>4.4</v>
      </c>
      <c r="K28" s="19" t="n">
        <f aca="false">J28*TAN(ACOS(H28))</f>
        <v>2.72687508897365</v>
      </c>
      <c r="L28" s="19" t="n">
        <f aca="false">SQRT(J28^2+K28^2)</f>
        <v>5.17647058823529</v>
      </c>
      <c r="M28" s="28" t="s">
        <v>170</v>
      </c>
      <c r="N28" s="15" t="n">
        <v>0.8</v>
      </c>
      <c r="O28" s="19" t="n">
        <f aca="false">IF(M28="Y",G28*N28,0)</f>
        <v>4.4</v>
      </c>
      <c r="P28" s="19" t="n">
        <f aca="false">O28*TAN(ACOS(H28))</f>
        <v>2.72687508897365</v>
      </c>
      <c r="Q28" s="28" t="s">
        <v>171</v>
      </c>
      <c r="R28" s="29"/>
    </row>
    <row r="29" customFormat="false" ht="23.85" hidden="false" customHeight="false" outlineLevel="0" collapsed="false">
      <c r="A29" s="27" t="n">
        <v>25</v>
      </c>
      <c r="B29" s="13" t="s">
        <v>194</v>
      </c>
      <c r="C29" s="13" t="s">
        <v>199</v>
      </c>
      <c r="D29" s="28" t="s">
        <v>200</v>
      </c>
      <c r="E29" s="21" t="n">
        <v>1</v>
      </c>
      <c r="F29" s="15" t="n">
        <v>30</v>
      </c>
      <c r="G29" s="19" t="n">
        <f aca="false">E29*F29</f>
        <v>30</v>
      </c>
      <c r="H29" s="15" t="n">
        <v>0.85</v>
      </c>
      <c r="I29" s="15" t="n">
        <v>0</v>
      </c>
      <c r="J29" s="19" t="n">
        <f aca="false">G29*I29</f>
        <v>0</v>
      </c>
      <c r="K29" s="19" t="n">
        <f aca="false">J29*TAN(ACOS(H29))</f>
        <v>0</v>
      </c>
      <c r="L29" s="19" t="n">
        <f aca="false">SQRT(J29^2+K29^2)</f>
        <v>0</v>
      </c>
      <c r="M29" s="28" t="s">
        <v>170</v>
      </c>
      <c r="N29" s="15" t="n">
        <v>1</v>
      </c>
      <c r="O29" s="19" t="n">
        <f aca="false">IF(M29="Y",G29*N29,0)</f>
        <v>30</v>
      </c>
      <c r="P29" s="19" t="n">
        <f aca="false">O29*TAN(ACOS(H29))</f>
        <v>18.5923301520931</v>
      </c>
      <c r="Q29" s="28" t="s">
        <v>171</v>
      </c>
      <c r="R29" s="29" t="s">
        <v>201</v>
      </c>
    </row>
    <row r="30" customFormat="false" ht="15" hidden="false" customHeight="false" outlineLevel="0" collapsed="false">
      <c r="A30" s="27" t="n">
        <v>26</v>
      </c>
      <c r="B30" s="13" t="s">
        <v>194</v>
      </c>
      <c r="C30" s="13" t="s">
        <v>202</v>
      </c>
      <c r="D30" s="28" t="s">
        <v>200</v>
      </c>
      <c r="E30" s="21" t="n">
        <v>1</v>
      </c>
      <c r="F30" s="15" t="n">
        <v>3.7</v>
      </c>
      <c r="G30" s="19" t="n">
        <f aca="false">E30*F30</f>
        <v>3.7</v>
      </c>
      <c r="H30" s="15" t="n">
        <v>0.85</v>
      </c>
      <c r="I30" s="15" t="n">
        <v>0.2</v>
      </c>
      <c r="J30" s="19" t="n">
        <f aca="false">G30*I30</f>
        <v>0.74</v>
      </c>
      <c r="K30" s="19" t="n">
        <f aca="false">J30*TAN(ACOS(H30))</f>
        <v>0.458610810418296</v>
      </c>
      <c r="L30" s="19" t="n">
        <f aca="false">SQRT(J30^2+K30^2)</f>
        <v>0.870588235294118</v>
      </c>
      <c r="M30" s="28" t="s">
        <v>170</v>
      </c>
      <c r="N30" s="15" t="n">
        <v>1</v>
      </c>
      <c r="O30" s="19" t="n">
        <f aca="false">IF(M30="Y",G30*N30,0)</f>
        <v>3.7</v>
      </c>
      <c r="P30" s="19" t="n">
        <f aca="false">O30*TAN(ACOS(H30))</f>
        <v>2.29305405209148</v>
      </c>
      <c r="Q30" s="28" t="s">
        <v>171</v>
      </c>
      <c r="R30" s="29" t="s">
        <v>203</v>
      </c>
    </row>
    <row r="31" customFormat="false" ht="15" hidden="false" customHeight="false" outlineLevel="0" collapsed="false">
      <c r="A31" s="27" t="n">
        <v>27</v>
      </c>
      <c r="B31" s="13" t="s">
        <v>204</v>
      </c>
      <c r="C31" s="13" t="s">
        <v>205</v>
      </c>
      <c r="D31" s="28" t="s">
        <v>206</v>
      </c>
      <c r="E31" s="21" t="n">
        <v>2</v>
      </c>
      <c r="F31" s="15" t="n">
        <v>7.4</v>
      </c>
      <c r="G31" s="19" t="n">
        <f aca="false">E31*F31</f>
        <v>14.8</v>
      </c>
      <c r="H31" s="15" t="n">
        <v>0.99</v>
      </c>
      <c r="I31" s="15" t="n">
        <v>1</v>
      </c>
      <c r="J31" s="19" t="n">
        <f aca="false">G31*I31</f>
        <v>14.8</v>
      </c>
      <c r="K31" s="19" t="n">
        <f aca="false">J31*TAN(ACOS(H31))</f>
        <v>2.10888578281874</v>
      </c>
      <c r="L31" s="19" t="n">
        <f aca="false">SQRT(J31^2+K31^2)</f>
        <v>14.949494949495</v>
      </c>
      <c r="M31" s="28" t="s">
        <v>171</v>
      </c>
      <c r="N31" s="15" t="n">
        <v>0</v>
      </c>
      <c r="O31" s="19" t="n">
        <f aca="false">IF(M31="Y",G31*N31,0)</f>
        <v>0</v>
      </c>
      <c r="P31" s="19" t="n">
        <f aca="false">O31*TAN(ACOS(H31))</f>
        <v>0</v>
      </c>
      <c r="Q31" s="28" t="s">
        <v>171</v>
      </c>
      <c r="R31" s="29" t="s">
        <v>207</v>
      </c>
    </row>
    <row r="32" customFormat="false" ht="15" hidden="false" customHeight="false" outlineLevel="0" collapsed="false">
      <c r="A32" s="27" t="n">
        <v>28</v>
      </c>
      <c r="B32" s="13" t="s">
        <v>208</v>
      </c>
      <c r="C32" s="13" t="s">
        <v>209</v>
      </c>
      <c r="D32" s="28" t="s">
        <v>210</v>
      </c>
      <c r="E32" s="21" t="n">
        <v>1</v>
      </c>
      <c r="F32" s="15" t="n">
        <v>3</v>
      </c>
      <c r="G32" s="19" t="n">
        <f aca="false">E32*F32</f>
        <v>3</v>
      </c>
      <c r="H32" s="15" t="n">
        <v>0.9</v>
      </c>
      <c r="I32" s="15" t="n">
        <v>1</v>
      </c>
      <c r="J32" s="19" t="n">
        <f aca="false">G32*I32</f>
        <v>3</v>
      </c>
      <c r="K32" s="19" t="n">
        <f aca="false">J32*TAN(ACOS(H32))</f>
        <v>1.45296631451356</v>
      </c>
      <c r="L32" s="19" t="n">
        <f aca="false">SQRT(J32^2+K32^2)</f>
        <v>3.33333333333333</v>
      </c>
      <c r="M32" s="28" t="s">
        <v>170</v>
      </c>
      <c r="N32" s="15" t="n">
        <v>1</v>
      </c>
      <c r="O32" s="19" t="n">
        <f aca="false">IF(M32="Y",G32*N32,0)</f>
        <v>3</v>
      </c>
      <c r="P32" s="19" t="n">
        <f aca="false">O32*TAN(ACOS(H32))</f>
        <v>1.45296631451356</v>
      </c>
      <c r="Q32" s="28" t="s">
        <v>171</v>
      </c>
      <c r="R32" s="29"/>
    </row>
    <row r="33" customFormat="false" ht="15" hidden="false" customHeight="false" outlineLevel="0" collapsed="false">
      <c r="A33" s="27" t="n">
        <v>29</v>
      </c>
      <c r="B33" s="13" t="s">
        <v>208</v>
      </c>
      <c r="C33" s="13" t="s">
        <v>211</v>
      </c>
      <c r="D33" s="28" t="s">
        <v>210</v>
      </c>
      <c r="E33" s="21" t="n">
        <v>1</v>
      </c>
      <c r="F33" s="15" t="n">
        <v>1</v>
      </c>
      <c r="G33" s="19" t="n">
        <f aca="false">E33*F33</f>
        <v>1</v>
      </c>
      <c r="H33" s="15" t="n">
        <v>0.9</v>
      </c>
      <c r="I33" s="15" t="n">
        <v>1</v>
      </c>
      <c r="J33" s="19" t="n">
        <f aca="false">G33*I33</f>
        <v>1</v>
      </c>
      <c r="K33" s="19" t="n">
        <f aca="false">J33*TAN(ACOS(H33))</f>
        <v>0.484322104837853</v>
      </c>
      <c r="L33" s="19" t="n">
        <f aca="false">SQRT(J33^2+K33^2)</f>
        <v>1.11111111111111</v>
      </c>
      <c r="M33" s="28" t="s">
        <v>170</v>
      </c>
      <c r="N33" s="15" t="n">
        <v>1</v>
      </c>
      <c r="O33" s="19" t="n">
        <f aca="false">IF(M33="Y",G33*N33,0)</f>
        <v>1</v>
      </c>
      <c r="P33" s="19" t="n">
        <f aca="false">O33*TAN(ACOS(H33))</f>
        <v>0.484322104837853</v>
      </c>
      <c r="Q33" s="28" t="s">
        <v>171</v>
      </c>
      <c r="R33" s="29"/>
    </row>
    <row r="34" customFormat="false" ht="15" hidden="false" customHeight="false" outlineLevel="0" collapsed="false">
      <c r="C34" s="24" t="s">
        <v>212</v>
      </c>
      <c r="G34" s="30" t="n">
        <f aca="false">SUM(G5:G33)</f>
        <v>271.664</v>
      </c>
      <c r="J34" s="30" t="n">
        <f aca="false">SUM(J5:J33)</f>
        <v>180.9226</v>
      </c>
      <c r="K34" s="30" t="n">
        <f aca="false">SUM(K5:K33)</f>
        <v>91.1357656522618</v>
      </c>
      <c r="L34" s="30" t="n">
        <f aca="false">SQRT(J34^2+K34^2)</f>
        <v>202.580144564525</v>
      </c>
      <c r="O34" s="30" t="n">
        <f aca="false">SUM(O5:O33)</f>
        <v>167.5826</v>
      </c>
      <c r="P34" s="30" t="n">
        <f aca="false">SUM(P5:P33)</f>
        <v>94.197506960817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62"/>
  </cols>
  <sheetData>
    <row r="1" customFormat="false" ht="17.35" hidden="false" customHeight="false" outlineLevel="0" collapsed="false">
      <c r="B1" s="1" t="s">
        <v>213</v>
      </c>
    </row>
    <row r="3" customFormat="false" ht="15" hidden="false" customHeight="false" outlineLevel="0" collapsed="false">
      <c r="B3" s="6" t="s">
        <v>214</v>
      </c>
    </row>
    <row r="4" customFormat="false" ht="18" hidden="false" customHeight="true" outlineLevel="0" collapsed="false">
      <c r="B4" s="11" t="s">
        <v>215</v>
      </c>
      <c r="C4" s="11" t="s">
        <v>41</v>
      </c>
      <c r="D4" s="11" t="s">
        <v>42</v>
      </c>
      <c r="E4" s="11" t="s">
        <v>216</v>
      </c>
    </row>
    <row r="5" customFormat="false" ht="15" hidden="false" customHeight="false" outlineLevel="0" collapsed="false">
      <c r="B5" s="12" t="s">
        <v>217</v>
      </c>
      <c r="C5" s="31" t="n">
        <f aca="false">Load_Schedule!G34</f>
        <v>271.664</v>
      </c>
      <c r="D5" s="12" t="s">
        <v>218</v>
      </c>
      <c r="E5" s="14" t="s">
        <v>219</v>
      </c>
    </row>
    <row r="6" customFormat="false" ht="15" hidden="false" customHeight="false" outlineLevel="0" collapsed="false">
      <c r="B6" s="12" t="s">
        <v>220</v>
      </c>
      <c r="C6" s="31" t="n">
        <f aca="false">Load_Schedule!J34</f>
        <v>180.9226</v>
      </c>
      <c r="D6" s="12" t="s">
        <v>218</v>
      </c>
      <c r="E6" s="14" t="s">
        <v>221</v>
      </c>
    </row>
    <row r="7" customFormat="false" ht="15" hidden="false" customHeight="false" outlineLevel="0" collapsed="false">
      <c r="B7" s="12" t="s">
        <v>222</v>
      </c>
      <c r="C7" s="31" t="n">
        <f aca="false">Load_Schedule!K34</f>
        <v>91.1357656522618</v>
      </c>
      <c r="D7" s="12" t="s">
        <v>223</v>
      </c>
      <c r="E7" s="14"/>
    </row>
    <row r="8" customFormat="false" ht="15" hidden="false" customHeight="false" outlineLevel="0" collapsed="false">
      <c r="B8" s="12" t="s">
        <v>224</v>
      </c>
      <c r="C8" s="32" t="n">
        <f aca="false">$C$6*Inputs!$C$8</f>
        <v>162.83034</v>
      </c>
      <c r="D8" s="12" t="s">
        <v>218</v>
      </c>
      <c r="E8" s="14" t="s">
        <v>225</v>
      </c>
    </row>
    <row r="9" customFormat="false" ht="15" hidden="false" customHeight="false" outlineLevel="0" collapsed="false">
      <c r="B9" s="12" t="s">
        <v>226</v>
      </c>
      <c r="C9" s="32" t="n">
        <f aca="false">$C$7*Inputs!$C$8</f>
        <v>82.0221890870356</v>
      </c>
      <c r="D9" s="12" t="s">
        <v>223</v>
      </c>
      <c r="E9" s="14"/>
    </row>
    <row r="10" customFormat="false" ht="15" hidden="false" customHeight="false" outlineLevel="0" collapsed="false">
      <c r="B10" s="33" t="s">
        <v>227</v>
      </c>
      <c r="C10" s="34" t="n">
        <f aca="false">SQRT($C$8^2+$C$9^2)</f>
        <v>182.322130108073</v>
      </c>
      <c r="D10" s="12" t="s">
        <v>228</v>
      </c>
      <c r="E10" s="14" t="s">
        <v>229</v>
      </c>
    </row>
    <row r="11" customFormat="false" ht="15" hidden="false" customHeight="false" outlineLevel="0" collapsed="false">
      <c r="B11" s="12" t="s">
        <v>230</v>
      </c>
      <c r="C11" s="35" t="n">
        <f aca="false">$C$8/$C$10</f>
        <v>0.893091474433088</v>
      </c>
      <c r="D11" s="12" t="s">
        <v>57</v>
      </c>
      <c r="E11" s="14"/>
    </row>
    <row r="13" customFormat="false" ht="15" hidden="false" customHeight="false" outlineLevel="0" collapsed="false">
      <c r="B13" s="6" t="s">
        <v>231</v>
      </c>
    </row>
    <row r="14" customFormat="false" ht="18" hidden="false" customHeight="true" outlineLevel="0" collapsed="false">
      <c r="B14" s="11" t="s">
        <v>215</v>
      </c>
      <c r="C14" s="11" t="s">
        <v>41</v>
      </c>
      <c r="D14" s="11" t="s">
        <v>42</v>
      </c>
      <c r="E14" s="11" t="s">
        <v>216</v>
      </c>
    </row>
    <row r="15" customFormat="false" ht="15" hidden="false" customHeight="false" outlineLevel="0" collapsed="false">
      <c r="B15" s="12" t="s">
        <v>232</v>
      </c>
      <c r="C15" s="32" t="n">
        <f aca="false">$C$10*(1+Inputs!$C$9)/Inputs!$C$10</f>
        <v>273.483195162109</v>
      </c>
      <c r="D15" s="12" t="s">
        <v>228</v>
      </c>
      <c r="E15" s="14" t="s">
        <v>233</v>
      </c>
    </row>
    <row r="16" customFormat="false" ht="15" hidden="false" customHeight="false" outlineLevel="0" collapsed="false">
      <c r="B16" s="33" t="s">
        <v>234</v>
      </c>
      <c r="C16" s="22" t="n">
        <f aca="false">IFERROR(INDEX(Ref_Tables!$M$5:$M$17,COUNTIF(Ref_Tables!$M$5:$M$17,"&lt;"&amp;$C$15)+1),"Exceeds table")</f>
        <v>315</v>
      </c>
      <c r="D16" s="12" t="s">
        <v>228</v>
      </c>
      <c r="E16" s="14" t="s">
        <v>235</v>
      </c>
    </row>
    <row r="17" customFormat="false" ht="15" hidden="false" customHeight="false" outlineLevel="0" collapsed="false">
      <c r="B17" s="12" t="s">
        <v>236</v>
      </c>
      <c r="C17" s="36" t="n">
        <f aca="false">$C$10/$C$16</f>
        <v>0.578800413041501</v>
      </c>
      <c r="D17" s="12" t="s">
        <v>57</v>
      </c>
      <c r="E17" s="14"/>
    </row>
    <row r="18" customFormat="false" ht="15" hidden="false" customHeight="false" outlineLevel="0" collapsed="false">
      <c r="B18" s="12" t="s">
        <v>237</v>
      </c>
      <c r="C18" s="18" t="n">
        <f aca="false">$C$16*1000/(SQRT(3)*Inputs!$C$7)</f>
        <v>438.229722396945</v>
      </c>
      <c r="D18" s="12" t="s">
        <v>238</v>
      </c>
      <c r="E18" s="14" t="s">
        <v>239</v>
      </c>
    </row>
    <row r="19" customFormat="false" ht="15" hidden="false" customHeight="false" outlineLevel="0" collapsed="false">
      <c r="B19" s="12" t="s">
        <v>240</v>
      </c>
      <c r="C19" s="37" t="n">
        <f aca="false">$C$16/(SQRT(3)*Inputs!$C$6)</f>
        <v>16.5332122540666</v>
      </c>
      <c r="D19" s="12" t="s">
        <v>238</v>
      </c>
      <c r="E19" s="14"/>
    </row>
    <row r="20" customFormat="false" ht="15" hidden="false" customHeight="false" outlineLevel="0" collapsed="false">
      <c r="B20" s="33" t="s">
        <v>241</v>
      </c>
      <c r="C20" s="38" t="n">
        <f aca="false">$C$18/Inputs!$C$11/1000</f>
        <v>9.73843827548767</v>
      </c>
      <c r="D20" s="12" t="s">
        <v>242</v>
      </c>
      <c r="E20" s="14" t="s">
        <v>243</v>
      </c>
    </row>
    <row r="22" customFormat="false" ht="15" hidden="false" customHeight="false" outlineLevel="0" collapsed="false">
      <c r="B22" s="6" t="s">
        <v>244</v>
      </c>
    </row>
    <row r="23" customFormat="false" ht="18" hidden="false" customHeight="true" outlineLevel="0" collapsed="false">
      <c r="B23" s="11" t="s">
        <v>215</v>
      </c>
      <c r="C23" s="11" t="s">
        <v>41</v>
      </c>
      <c r="D23" s="11" t="s">
        <v>42</v>
      </c>
      <c r="E23" s="11" t="s">
        <v>216</v>
      </c>
    </row>
    <row r="24" customFormat="false" ht="15" hidden="false" customHeight="false" outlineLevel="0" collapsed="false">
      <c r="B24" s="12" t="s">
        <v>245</v>
      </c>
      <c r="C24" s="31" t="n">
        <f aca="false">Load_Schedule!O34*Inputs!$C$8</f>
        <v>150.82434</v>
      </c>
      <c r="D24" s="12" t="s">
        <v>218</v>
      </c>
      <c r="E24" s="14" t="s">
        <v>246</v>
      </c>
    </row>
    <row r="25" customFormat="false" ht="15" hidden="false" customHeight="false" outlineLevel="0" collapsed="false">
      <c r="B25" s="12" t="s">
        <v>247</v>
      </c>
      <c r="C25" s="31" t="n">
        <f aca="false">Load_Schedule!P34*Inputs!$C$8</f>
        <v>84.7777562647353</v>
      </c>
      <c r="D25" s="12" t="s">
        <v>223</v>
      </c>
      <c r="E25" s="14"/>
    </row>
    <row r="26" customFormat="false" ht="15" hidden="false" customHeight="false" outlineLevel="0" collapsed="false">
      <c r="B26" s="12" t="s">
        <v>245</v>
      </c>
      <c r="C26" s="32" t="n">
        <f aca="false">SQRT($C$24^2+$C$25^2)</f>
        <v>173.018061177781</v>
      </c>
      <c r="D26" s="12" t="s">
        <v>228</v>
      </c>
      <c r="E26" s="14"/>
    </row>
    <row r="27" customFormat="false" ht="15" hidden="false" customHeight="false" outlineLevel="0" collapsed="false">
      <c r="B27" s="12" t="s">
        <v>232</v>
      </c>
      <c r="C27" s="32" t="n">
        <f aca="false">$C$26*(1+Inputs!$C$9)/Inputs!$C$12</f>
        <v>259.527091766672</v>
      </c>
      <c r="D27" s="12" t="s">
        <v>228</v>
      </c>
      <c r="E27" s="14" t="s">
        <v>248</v>
      </c>
    </row>
    <row r="28" customFormat="false" ht="15" hidden="false" customHeight="false" outlineLevel="0" collapsed="false">
      <c r="B28" s="33" t="s">
        <v>249</v>
      </c>
      <c r="C28" s="38" t="n">
        <f aca="false">IFERROR(INDEX(Ref_Tables!$O$5:$O$22,COUNTIF(Ref_Tables!$O$5:$O$22,"&lt;"&amp;$C$27)+1),"Exceeds table")</f>
        <v>320</v>
      </c>
      <c r="D28" s="12" t="s">
        <v>228</v>
      </c>
      <c r="E28" s="14" t="s">
        <v>250</v>
      </c>
    </row>
    <row r="29" customFormat="false" ht="15" hidden="false" customHeight="false" outlineLevel="0" collapsed="false">
      <c r="B29" s="12" t="s">
        <v>251</v>
      </c>
      <c r="C29" s="36" t="n">
        <f aca="false">$C$26/$C$28</f>
        <v>0.540681441180567</v>
      </c>
      <c r="D29" s="12" t="s">
        <v>57</v>
      </c>
      <c r="E29" s="14"/>
    </row>
    <row r="30" customFormat="false" ht="15" hidden="false" customHeight="false" outlineLevel="0" collapsed="false">
      <c r="B30" s="12" t="s">
        <v>252</v>
      </c>
      <c r="C30" s="32" t="n">
        <f aca="false">30/(0.9*0.85)*6/3</f>
        <v>78.4313725490196</v>
      </c>
      <c r="D30" s="12" t="s">
        <v>228</v>
      </c>
      <c r="E30" s="14" t="s">
        <v>253</v>
      </c>
    </row>
    <row r="31" customFormat="false" ht="15" hidden="false" customHeight="false" outlineLevel="0" collapsed="false">
      <c r="B31" s="12" t="s">
        <v>254</v>
      </c>
      <c r="C31" s="36" t="n">
        <f aca="false">$C$30/$C$28</f>
        <v>0.245098039215686</v>
      </c>
      <c r="D31" s="12" t="s">
        <v>57</v>
      </c>
      <c r="E31" s="14" t="s">
        <v>255</v>
      </c>
    </row>
    <row r="32" customFormat="false" ht="15" hidden="false" customHeight="false" outlineLevel="0" collapsed="false">
      <c r="B32" s="12" t="s">
        <v>256</v>
      </c>
      <c r="C32" s="18" t="n">
        <f aca="false">$C$28*1000/(SQRT(3)*Inputs!$C$7)</f>
        <v>445.185749736579</v>
      </c>
      <c r="D32" s="12" t="s">
        <v>238</v>
      </c>
      <c r="E32" s="14"/>
    </row>
    <row r="34" customFormat="false" ht="15" hidden="false" customHeight="false" outlineLevel="0" collapsed="false">
      <c r="B34" s="6" t="s">
        <v>257</v>
      </c>
    </row>
    <row r="35" customFormat="false" ht="18" hidden="false" customHeight="true" outlineLevel="0" collapsed="false">
      <c r="B35" s="11" t="s">
        <v>215</v>
      </c>
      <c r="C35" s="11" t="s">
        <v>41</v>
      </c>
      <c r="D35" s="11" t="s">
        <v>42</v>
      </c>
      <c r="E35" s="11" t="s">
        <v>216</v>
      </c>
    </row>
    <row r="36" customFormat="false" ht="15" hidden="false" customHeight="false" outlineLevel="0" collapsed="false">
      <c r="B36" s="12" t="s">
        <v>258</v>
      </c>
      <c r="C36" s="31" t="n">
        <f aca="false">SUMIFS(Load_Schedule!$J$5:$J$33,Load_Schedule!$Q$5:$Q$33,"Y")</f>
        <v>22.4</v>
      </c>
      <c r="D36" s="12" t="s">
        <v>218</v>
      </c>
      <c r="E36" s="14" t="s">
        <v>259</v>
      </c>
    </row>
    <row r="37" customFormat="false" ht="15" hidden="false" customHeight="false" outlineLevel="0" collapsed="false">
      <c r="B37" s="12" t="s">
        <v>258</v>
      </c>
      <c r="C37" s="32" t="n">
        <f aca="false">$C$36/Inputs!$C$14</f>
        <v>24.8888888888889</v>
      </c>
      <c r="D37" s="12" t="s">
        <v>228</v>
      </c>
      <c r="E37" s="14" t="s">
        <v>260</v>
      </c>
    </row>
    <row r="38" customFormat="false" ht="15" hidden="false" customHeight="false" outlineLevel="0" collapsed="false">
      <c r="B38" s="12" t="s">
        <v>232</v>
      </c>
      <c r="C38" s="32" t="n">
        <f aca="false">$C$37*(1+Inputs!$C$9)</f>
        <v>29.8666666666667</v>
      </c>
      <c r="D38" s="12" t="s">
        <v>228</v>
      </c>
      <c r="E38" s="14" t="s">
        <v>261</v>
      </c>
    </row>
    <row r="39" customFormat="false" ht="15" hidden="false" customHeight="false" outlineLevel="0" collapsed="false">
      <c r="B39" s="33" t="s">
        <v>262</v>
      </c>
      <c r="C39" s="22" t="n">
        <f aca="false">IFERROR(INDEX(Ref_Tables!$Q$5:$Q$16,COUNTIF(Ref_Tables!$Q$5:$Q$16,"&lt;"&amp;$C$38)+1),"Exceeds table")</f>
        <v>30</v>
      </c>
      <c r="D39" s="12" t="s">
        <v>228</v>
      </c>
      <c r="E39" s="14" t="s">
        <v>263</v>
      </c>
    </row>
    <row r="40" customFormat="false" ht="15" hidden="false" customHeight="false" outlineLevel="0" collapsed="false">
      <c r="B40" s="12" t="s">
        <v>264</v>
      </c>
      <c r="C40" s="36" t="n">
        <f aca="false">$C$37/$C$39</f>
        <v>0.82962962962963</v>
      </c>
      <c r="D40" s="12" t="s">
        <v>57</v>
      </c>
      <c r="E40" s="14"/>
    </row>
    <row r="41" customFormat="false" ht="23.85" hidden="false" customHeight="false" outlineLevel="0" collapsed="false">
      <c r="B41" s="12" t="s">
        <v>265</v>
      </c>
      <c r="C41" s="32" t="n">
        <f aca="false">$C$39*Inputs!$C$14*1000*Inputs!$C$16*Inputs!$C$18/(Inputs!$C$17*Inputs!$C$15)</f>
        <v>47.2530241935484</v>
      </c>
      <c r="D41" s="12" t="s">
        <v>266</v>
      </c>
      <c r="E41" s="14" t="s">
        <v>267</v>
      </c>
    </row>
    <row r="42" customFormat="false" ht="15" hidden="false" customHeight="false" outlineLevel="0" collapsed="false">
      <c r="B42" s="33" t="s">
        <v>268</v>
      </c>
      <c r="C42" s="22" t="n">
        <f aca="false">IFERROR(INDEX(Ref_Tables!$S$5:$S$15,COUNTIF(Ref_Tables!$S$5:$S$15,"&lt;"&amp;$C$41)+1),"Exceeds table")</f>
        <v>65</v>
      </c>
      <c r="D42" s="12" t="s">
        <v>266</v>
      </c>
      <c r="E42" s="14" t="str">
        <f aca="false">""&amp;Inputs!$C$17/12&amp;" x 12 V VRLA blocks"</f>
        <v>32 x 12 V VRLA blocks</v>
      </c>
    </row>
    <row r="43" customFormat="false" ht="15" hidden="false" customHeight="false" outlineLevel="0" collapsed="false">
      <c r="B43" s="12" t="s">
        <v>269</v>
      </c>
      <c r="C43" s="32" t="n">
        <f aca="false">$C$39*Inputs!$C$14/Inputs!$C$15*(1+Inputs!$C$19)/0.95</f>
        <v>33.616298811545</v>
      </c>
      <c r="D43" s="12" t="s">
        <v>228</v>
      </c>
      <c r="E43" s="14" t="s">
        <v>270</v>
      </c>
    </row>
    <row r="45" customFormat="false" ht="15" hidden="false" customHeight="false" outlineLevel="0" collapsed="false">
      <c r="B45" s="6" t="s">
        <v>271</v>
      </c>
    </row>
    <row r="46" customFormat="false" ht="18" hidden="false" customHeight="true" outlineLevel="0" collapsed="false">
      <c r="B46" s="11" t="s">
        <v>215</v>
      </c>
      <c r="C46" s="11" t="s">
        <v>41</v>
      </c>
      <c r="D46" s="11" t="s">
        <v>42</v>
      </c>
      <c r="E46" s="11" t="s">
        <v>216</v>
      </c>
    </row>
    <row r="47" customFormat="false" ht="15" hidden="false" customHeight="false" outlineLevel="0" collapsed="false">
      <c r="B47" s="12" t="s">
        <v>272</v>
      </c>
      <c r="C47" s="32" t="n">
        <f aca="false">$C$8*(TAN(ACOS($C$11))-TAN(ACOS(Inputs!$C$13)))</f>
        <v>48.9580783360561</v>
      </c>
      <c r="D47" s="12" t="s">
        <v>223</v>
      </c>
      <c r="E47" s="14" t="s">
        <v>273</v>
      </c>
    </row>
    <row r="48" customFormat="false" ht="15" hidden="false" customHeight="false" outlineLevel="0" collapsed="false">
      <c r="B48" s="33" t="s">
        <v>274</v>
      </c>
      <c r="C48" s="22" t="n">
        <f aca="false">CEILING($C$47*(1+Inputs!$C$9),25)</f>
        <v>75</v>
      </c>
      <c r="D48" s="12" t="s">
        <v>223</v>
      </c>
      <c r="E48" s="14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8" min="6" style="0" width="8"/>
    <col collapsed="false" customWidth="true" hidden="false" outlineLevel="0" max="9" min="9" style="0" width="6"/>
    <col collapsed="false" customWidth="true" hidden="false" outlineLevel="0" max="12" min="10" style="0" width="7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8"/>
    <col collapsed="false" customWidth="true" hidden="false" outlineLevel="0" max="17" min="17" style="0" width="7"/>
    <col collapsed="false" customWidth="true" hidden="false" outlineLevel="0" max="18" min="18" style="0" width="9"/>
    <col collapsed="false" customWidth="true" hidden="false" outlineLevel="0" max="19" min="19" style="0" width="30"/>
    <col collapsed="false" customWidth="true" hidden="false" outlineLevel="0" max="20" min="20" style="0" width="10"/>
    <col collapsed="false" customWidth="true" hidden="false" outlineLevel="0" max="22" min="21" style="0" width="8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1" t="s">
        <v>276</v>
      </c>
    </row>
    <row r="2" customFormat="false" ht="15" hidden="false" customHeight="false" outlineLevel="0" collapsed="false">
      <c r="A2" s="2" t="s">
        <v>277</v>
      </c>
    </row>
    <row r="4" customFormat="false" ht="42" hidden="false" customHeight="true" outlineLevel="0" collapsed="false">
      <c r="A4" s="11" t="s">
        <v>278</v>
      </c>
      <c r="B4" s="11" t="s">
        <v>279</v>
      </c>
      <c r="C4" s="11" t="s">
        <v>280</v>
      </c>
      <c r="D4" s="11" t="s">
        <v>281</v>
      </c>
      <c r="E4" s="11" t="s">
        <v>282</v>
      </c>
      <c r="F4" s="11" t="s">
        <v>283</v>
      </c>
      <c r="G4" s="11" t="s">
        <v>284</v>
      </c>
      <c r="H4" s="11" t="s">
        <v>117</v>
      </c>
      <c r="I4" s="11" t="s">
        <v>285</v>
      </c>
      <c r="J4" s="11" t="s">
        <v>286</v>
      </c>
      <c r="K4" s="11" t="s">
        <v>287</v>
      </c>
      <c r="L4" s="11" t="s">
        <v>288</v>
      </c>
      <c r="M4" s="11" t="s">
        <v>289</v>
      </c>
      <c r="N4" s="11" t="s">
        <v>290</v>
      </c>
      <c r="O4" s="11" t="s">
        <v>291</v>
      </c>
      <c r="P4" s="11" t="s">
        <v>292</v>
      </c>
      <c r="Q4" s="11" t="s">
        <v>293</v>
      </c>
      <c r="R4" s="11" t="s">
        <v>294</v>
      </c>
      <c r="S4" s="11" t="s">
        <v>295</v>
      </c>
      <c r="T4" s="11" t="s">
        <v>296</v>
      </c>
      <c r="U4" s="11" t="s">
        <v>297</v>
      </c>
      <c r="V4" s="11" t="s">
        <v>133</v>
      </c>
      <c r="W4" s="11" t="s">
        <v>298</v>
      </c>
    </row>
    <row r="5" customFormat="false" ht="15" hidden="false" customHeight="false" outlineLevel="0" collapsed="false">
      <c r="A5" s="39" t="s">
        <v>299</v>
      </c>
      <c r="B5" s="12" t="s">
        <v>300</v>
      </c>
      <c r="C5" s="12" t="s">
        <v>301</v>
      </c>
      <c r="D5" s="14" t="s">
        <v>302</v>
      </c>
      <c r="E5" s="40" t="n">
        <f aca="false">Sizing!$C$16</f>
        <v>315</v>
      </c>
      <c r="F5" s="37" t="n">
        <f aca="false">E5*1000/(SQRT(3)*Inputs!$C$7)</f>
        <v>438.229722396945</v>
      </c>
      <c r="G5" s="18" t="n">
        <f aca="false">IFERROR(INDEX(Ref_Tables!$K$5:$K$27,COUNTIF(Ref_Tables!$K$5:$K$27,"&lt;"&amp;F5)+1),"Exceeds table")</f>
        <v>500</v>
      </c>
      <c r="H5" s="21" t="n">
        <v>15</v>
      </c>
      <c r="I5" s="21" t="n">
        <v>2</v>
      </c>
      <c r="J5" s="20" t="n">
        <f aca="false">Inputs!$C$21</f>
        <v>0.87</v>
      </c>
      <c r="K5" s="20" t="n">
        <f aca="false">Inputs!$C$22</f>
        <v>0.71</v>
      </c>
      <c r="L5" s="19" t="n">
        <f aca="false">J5*K5</f>
        <v>0.6177</v>
      </c>
      <c r="M5" s="18" t="n">
        <f aca="false">G5/(I5*L5)</f>
        <v>404.72721385786</v>
      </c>
      <c r="N5" s="18" t="n">
        <f aca="false">COUNTIF(Ref_Tables!$C$5:$C$15,"&lt;"&amp;M5)+1</f>
        <v>10</v>
      </c>
      <c r="O5" s="19" t="n">
        <f aca="false">Inputs!$C$20*Inputs!$C$7*1000/((F5/I5)*H5)</f>
        <v>3.78796762328317</v>
      </c>
      <c r="P5" s="18" t="n">
        <f aca="false">COUNTIF(Ref_Tables!$F$5:$F$15,"&gt;"&amp;O5)+1</f>
        <v>2</v>
      </c>
      <c r="Q5" s="18" t="n">
        <f aca="false">MAX(N5,P5)</f>
        <v>10</v>
      </c>
      <c r="R5" s="22" t="n">
        <f aca="false">IF(Q5&gt;11,"Add run",INDEX(Ref_Tables!$B$5:$B$15,Q5))</f>
        <v>240</v>
      </c>
      <c r="S5" s="41" t="str">
        <f aca="false">IF(Q5&gt;11,"Increase runs",I5&amp;"R x "&amp;IF(R5=16,"4C","3.5C")&amp;" x "&amp;R5&amp;" sq.mm Al XLPE armd")</f>
        <v>2R x 3.5C x 240 sq.mm Al XLPE armd</v>
      </c>
      <c r="T5" s="18" t="n">
        <f aca="false">IF(Q5&gt;11,0,INDEX(Ref_Tables!$C$5:$C$15,Q5)*L5*I5)</f>
        <v>505.2786</v>
      </c>
      <c r="U5" s="42" t="n">
        <f aca="false">IF(Q5&gt;11,0,INDEX(Ref_Tables!$F$5:$F$15,Q5)*(F5/I5)*H5/(1000*Inputs!$C$7))</f>
        <v>0.00242722870734838</v>
      </c>
      <c r="V5" s="27" t="str">
        <f aca="false">IF(AND(Q5&lt;=11,T5&gt;=G5,U5&lt;=Inputs!$C$20),"OK","CHECK")</f>
        <v>OK</v>
      </c>
      <c r="W5" s="12" t="str">
        <f aca="false">IF(P5&gt;N5,"Voltage drop","Ampacity")</f>
        <v>Ampacity</v>
      </c>
    </row>
    <row r="6" customFormat="false" ht="15" hidden="false" customHeight="false" outlineLevel="0" collapsed="false">
      <c r="A6" s="39" t="s">
        <v>303</v>
      </c>
      <c r="B6" s="12" t="s">
        <v>304</v>
      </c>
      <c r="C6" s="12" t="s">
        <v>305</v>
      </c>
      <c r="D6" s="14" t="s">
        <v>306</v>
      </c>
      <c r="E6" s="40" t="n">
        <f aca="false">Sizing!$C$28</f>
        <v>320</v>
      </c>
      <c r="F6" s="37" t="n">
        <f aca="false">E6*1000/(SQRT(3)*Inputs!$C$7)</f>
        <v>445.185749736579</v>
      </c>
      <c r="G6" s="18" t="n">
        <f aca="false">IFERROR(INDEX(Ref_Tables!$K$5:$K$27,COUNTIF(Ref_Tables!$K$5:$K$27,"&lt;"&amp;F6)+1),"Exceeds table")</f>
        <v>500</v>
      </c>
      <c r="H6" s="21" t="n">
        <v>25</v>
      </c>
      <c r="I6" s="21" t="n">
        <v>2</v>
      </c>
      <c r="J6" s="20" t="n">
        <f aca="false">Inputs!$C$21</f>
        <v>0.87</v>
      </c>
      <c r="K6" s="20" t="n">
        <f aca="false">Inputs!$C$22</f>
        <v>0.71</v>
      </c>
      <c r="L6" s="19" t="n">
        <f aca="false">J6*K6</f>
        <v>0.6177</v>
      </c>
      <c r="M6" s="18" t="n">
        <f aca="false">G6/(I6*L6)</f>
        <v>404.72721385786</v>
      </c>
      <c r="N6" s="18" t="n">
        <f aca="false">COUNTIF(Ref_Tables!$C$5:$C$15,"&lt;"&amp;M6)+1</f>
        <v>10</v>
      </c>
      <c r="O6" s="19" t="n">
        <f aca="false">Inputs!$C$20*Inputs!$C$7*1000/((F6/I6)*H6)</f>
        <v>2.23726837750162</v>
      </c>
      <c r="P6" s="18" t="n">
        <f aca="false">COUNTIF(Ref_Tables!$F$5:$F$15,"&gt;"&amp;O6)+1</f>
        <v>3</v>
      </c>
      <c r="Q6" s="18" t="n">
        <f aca="false">MAX(N6,P6)</f>
        <v>10</v>
      </c>
      <c r="R6" s="22" t="n">
        <f aca="false">IF(Q6&gt;11,"Add run",INDEX(Ref_Tables!$B$5:$B$15,Q6))</f>
        <v>240</v>
      </c>
      <c r="S6" s="41" t="str">
        <f aca="false">IF(Q6&gt;11,"Increase runs",I6&amp;"R x "&amp;IF(R6=16,"4C","3.5C")&amp;" x "&amp;R6&amp;" sq.mm Al XLPE armd")</f>
        <v>2R x 3.5C x 240 sq.mm Al XLPE armd</v>
      </c>
      <c r="T6" s="18" t="n">
        <f aca="false">IF(Q6&gt;11,0,INDEX(Ref_Tables!$C$5:$C$15,Q6)*L6*I6)</f>
        <v>505.2786</v>
      </c>
      <c r="U6" s="42" t="n">
        <f aca="false">IF(Q6&gt;11,0,INDEX(Ref_Tables!$F$5:$F$15,Q6)*(F6/I6)*H6/(1000*Inputs!$C$7))</f>
        <v>0.00410959357857926</v>
      </c>
      <c r="V6" s="27" t="str">
        <f aca="false">IF(AND(Q6&lt;=11,T6&gt;=G6,U6&lt;=Inputs!$C$20),"OK","CHECK")</f>
        <v>OK</v>
      </c>
      <c r="W6" s="12" t="str">
        <f aca="false">IF(P6&gt;N6,"Voltage drop","Ampacity")</f>
        <v>Ampacity</v>
      </c>
    </row>
    <row r="7" customFormat="false" ht="15" hidden="false" customHeight="false" outlineLevel="0" collapsed="false">
      <c r="A7" s="39" t="s">
        <v>169</v>
      </c>
      <c r="B7" s="12" t="s">
        <v>301</v>
      </c>
      <c r="C7" s="12" t="s">
        <v>307</v>
      </c>
      <c r="D7" s="14" t="s">
        <v>308</v>
      </c>
      <c r="E7" s="40" t="n">
        <f aca="false">SUMIFS(Load_Schedule!$L$5:$L$33,Load_Schedule!$D$5:$D$33,"F01")</f>
        <v>21.3511764705882</v>
      </c>
      <c r="F7" s="37" t="n">
        <f aca="false">E7*1000/(SQRT(3)*Inputs!$C$7)</f>
        <v>29.7038734525526</v>
      </c>
      <c r="G7" s="18" t="n">
        <f aca="false">IFERROR(INDEX(Ref_Tables!$K$5:$K$27,COUNTIF(Ref_Tables!$K$5:$K$27,"&lt;"&amp;F7)+1),"Exceeds table")</f>
        <v>32</v>
      </c>
      <c r="H7" s="21" t="n">
        <v>20</v>
      </c>
      <c r="I7" s="21" t="n">
        <v>1</v>
      </c>
      <c r="J7" s="20" t="n">
        <f aca="false">Inputs!$C$21</f>
        <v>0.87</v>
      </c>
      <c r="K7" s="20" t="n">
        <f aca="false">Inputs!$C$22</f>
        <v>0.71</v>
      </c>
      <c r="L7" s="19" t="n">
        <f aca="false">J7*K7</f>
        <v>0.6177</v>
      </c>
      <c r="M7" s="18" t="n">
        <f aca="false">G7/(I7*L7)</f>
        <v>51.8050833738061</v>
      </c>
      <c r="N7" s="18" t="n">
        <f aca="false">COUNTIF(Ref_Tables!$C$5:$C$15,"&lt;"&amp;M7)+1</f>
        <v>1</v>
      </c>
      <c r="O7" s="19" t="n">
        <f aca="false">Inputs!$C$20*Inputs!$C$7*1000/((F7/I7)*H7)</f>
        <v>20.9568627806858</v>
      </c>
      <c r="P7" s="18" t="n">
        <f aca="false">COUNTIF(Ref_Tables!$F$5:$F$15,"&gt;"&amp;O7)+1</f>
        <v>1</v>
      </c>
      <c r="Q7" s="18" t="n">
        <f aca="false">MAX(N7,P7)</f>
        <v>1</v>
      </c>
      <c r="R7" s="22" t="n">
        <f aca="false">IF(Q7&gt;11,"Add run",INDEX(Ref_Tables!$B$5:$B$15,Q7))</f>
        <v>16</v>
      </c>
      <c r="S7" s="41" t="str">
        <f aca="false">IF(Q7&gt;11,"Increase runs",I7&amp;"R x "&amp;IF(R7=16,"4C","3.5C")&amp;" x "&amp;R7&amp;" sq.mm Al XLPE armd")</f>
        <v>1R x 4C x 16 sq.mm Al XLPE armd</v>
      </c>
      <c r="T7" s="18" t="n">
        <f aca="false">IF(Q7&gt;11,0,INDEX(Ref_Tables!$C$5:$C$15,Q7)*L7*I7)</f>
        <v>47.5629</v>
      </c>
      <c r="U7" s="42" t="n">
        <f aca="false">IF(Q7&gt;11,0,INDEX(Ref_Tables!$F$5:$F$15,Q7)*(F7/I7)*H7/(1000*Inputs!$C$7))</f>
        <v>0.00607519463142376</v>
      </c>
      <c r="V7" s="27" t="str">
        <f aca="false">IF(AND(Q7&lt;=11,T7&gt;=G7,U7&lt;=Inputs!$C$20),"OK","CHECK")</f>
        <v>OK</v>
      </c>
      <c r="W7" s="12" t="str">
        <f aca="false">IF(P7&gt;N7,"Voltage drop","Ampacity")</f>
        <v>Ampacity</v>
      </c>
    </row>
    <row r="8" customFormat="false" ht="15" hidden="false" customHeight="false" outlineLevel="0" collapsed="false">
      <c r="A8" s="39" t="s">
        <v>182</v>
      </c>
      <c r="B8" s="12" t="s">
        <v>301</v>
      </c>
      <c r="C8" s="12" t="s">
        <v>309</v>
      </c>
      <c r="D8" s="14" t="s">
        <v>308</v>
      </c>
      <c r="E8" s="40" t="n">
        <f aca="false">SUMIFS(Load_Schedule!$L$5:$L$33,Load_Schedule!$D$5:$D$33,"F02")</f>
        <v>10.702</v>
      </c>
      <c r="F8" s="37" t="n">
        <f aca="false">E8*1000/(SQRT(3)*Inputs!$C$7)</f>
        <v>14.8886809177527</v>
      </c>
      <c r="G8" s="18" t="n">
        <f aca="false">IFERROR(INDEX(Ref_Tables!$K$5:$K$27,COUNTIF(Ref_Tables!$K$5:$K$27,"&lt;"&amp;F8)+1),"Exceeds table")</f>
        <v>16</v>
      </c>
      <c r="H8" s="21" t="n">
        <v>30</v>
      </c>
      <c r="I8" s="21" t="n">
        <v>1</v>
      </c>
      <c r="J8" s="20" t="n">
        <f aca="false">Inputs!$C$21</f>
        <v>0.87</v>
      </c>
      <c r="K8" s="20" t="n">
        <f aca="false">Inputs!$C$22</f>
        <v>0.71</v>
      </c>
      <c r="L8" s="19" t="n">
        <f aca="false">J8*K8</f>
        <v>0.6177</v>
      </c>
      <c r="M8" s="18" t="n">
        <f aca="false">G8/(I8*L8)</f>
        <v>25.902541686903</v>
      </c>
      <c r="N8" s="18" t="n">
        <f aca="false">COUNTIF(Ref_Tables!$C$5:$C$15,"&lt;"&amp;M8)+1</f>
        <v>1</v>
      </c>
      <c r="O8" s="19" t="n">
        <f aca="false">Inputs!$C$20*Inputs!$C$7*1000/((F8/I8)*H8)</f>
        <v>27.8735236716081</v>
      </c>
      <c r="P8" s="18" t="n">
        <f aca="false">COUNTIF(Ref_Tables!$F$5:$F$15,"&gt;"&amp;O8)+1</f>
        <v>1</v>
      </c>
      <c r="Q8" s="18" t="n">
        <f aca="false">MAX(N8,P8)</f>
        <v>1</v>
      </c>
      <c r="R8" s="22" t="n">
        <f aca="false">IF(Q8&gt;11,"Add run",INDEX(Ref_Tables!$B$5:$B$15,Q8))</f>
        <v>16</v>
      </c>
      <c r="S8" s="41" t="str">
        <f aca="false">IF(Q8&gt;11,"Increase runs",I8&amp;"R x "&amp;IF(R8=16,"4C","3.5C")&amp;" x "&amp;R8&amp;" sq.mm Al XLPE armd")</f>
        <v>1R x 4C x 16 sq.mm Al XLPE armd</v>
      </c>
      <c r="T8" s="18" t="n">
        <f aca="false">IF(Q8&gt;11,0,INDEX(Ref_Tables!$C$5:$C$15,Q8)*L8*I8)</f>
        <v>47.5629</v>
      </c>
      <c r="U8" s="42" t="n">
        <f aca="false">IF(Q8&gt;11,0,INDEX(Ref_Tables!$F$5:$F$15,Q8)*(F8/I8)*H8/(1000*Inputs!$C$7))</f>
        <v>0.00456766865060522</v>
      </c>
      <c r="V8" s="27" t="str">
        <f aca="false">IF(AND(Q8&lt;=11,T8&gt;=G8,U8&lt;=Inputs!$C$20),"OK","CHECK")</f>
        <v>OK</v>
      </c>
      <c r="W8" s="12" t="str">
        <f aca="false">IF(P8&gt;N8,"Voltage drop","Ampacity")</f>
        <v>Ampacity</v>
      </c>
    </row>
    <row r="9" customFormat="false" ht="15" hidden="false" customHeight="false" outlineLevel="0" collapsed="false">
      <c r="A9" s="39" t="s">
        <v>183</v>
      </c>
      <c r="B9" s="12" t="s">
        <v>301</v>
      </c>
      <c r="C9" s="12" t="s">
        <v>310</v>
      </c>
      <c r="D9" s="14" t="s">
        <v>308</v>
      </c>
      <c r="E9" s="40" t="n">
        <f aca="false">SUMIFS(Load_Schedule!$L$5:$L$33,Load_Schedule!$D$5:$D$33,"F03")</f>
        <v>10.702</v>
      </c>
      <c r="F9" s="37" t="n">
        <f aca="false">E9*1000/(SQRT(3)*Inputs!$C$7)</f>
        <v>14.8886809177527</v>
      </c>
      <c r="G9" s="18" t="n">
        <f aca="false">IFERROR(INDEX(Ref_Tables!$K$5:$K$27,COUNTIF(Ref_Tables!$K$5:$K$27,"&lt;"&amp;F9)+1),"Exceeds table")</f>
        <v>16</v>
      </c>
      <c r="H9" s="21" t="n">
        <v>40</v>
      </c>
      <c r="I9" s="21" t="n">
        <v>1</v>
      </c>
      <c r="J9" s="20" t="n">
        <f aca="false">Inputs!$C$21</f>
        <v>0.87</v>
      </c>
      <c r="K9" s="20" t="n">
        <f aca="false">Inputs!$C$22</f>
        <v>0.71</v>
      </c>
      <c r="L9" s="19" t="n">
        <f aca="false">J9*K9</f>
        <v>0.6177</v>
      </c>
      <c r="M9" s="18" t="n">
        <f aca="false">G9/(I9*L9)</f>
        <v>25.902541686903</v>
      </c>
      <c r="N9" s="18" t="n">
        <f aca="false">COUNTIF(Ref_Tables!$C$5:$C$15,"&lt;"&amp;M9)+1</f>
        <v>1</v>
      </c>
      <c r="O9" s="19" t="n">
        <f aca="false">Inputs!$C$20*Inputs!$C$7*1000/((F9/I9)*H9)</f>
        <v>20.9051427537061</v>
      </c>
      <c r="P9" s="18" t="n">
        <f aca="false">COUNTIF(Ref_Tables!$F$5:$F$15,"&gt;"&amp;O9)+1</f>
        <v>1</v>
      </c>
      <c r="Q9" s="18" t="n">
        <f aca="false">MAX(N9,P9)</f>
        <v>1</v>
      </c>
      <c r="R9" s="22" t="n">
        <f aca="false">IF(Q9&gt;11,"Add run",INDEX(Ref_Tables!$B$5:$B$15,Q9))</f>
        <v>16</v>
      </c>
      <c r="S9" s="41" t="str">
        <f aca="false">IF(Q9&gt;11,"Increase runs",I9&amp;"R x "&amp;IF(R9=16,"4C","3.5C")&amp;" x "&amp;R9&amp;" sq.mm Al XLPE armd")</f>
        <v>1R x 4C x 16 sq.mm Al XLPE armd</v>
      </c>
      <c r="T9" s="18" t="n">
        <f aca="false">IF(Q9&gt;11,0,INDEX(Ref_Tables!$C$5:$C$15,Q9)*L9*I9)</f>
        <v>47.5629</v>
      </c>
      <c r="U9" s="42" t="n">
        <f aca="false">IF(Q9&gt;11,0,INDEX(Ref_Tables!$F$5:$F$15,Q9)*(F9/I9)*H9/(1000*Inputs!$C$7))</f>
        <v>0.00609022486747363</v>
      </c>
      <c r="V9" s="27" t="str">
        <f aca="false">IF(AND(Q9&lt;=11,T9&gt;=G9,U9&lt;=Inputs!$C$20),"OK","CHECK")</f>
        <v>OK</v>
      </c>
      <c r="W9" s="12" t="str">
        <f aca="false">IF(P9&gt;N9,"Voltage drop","Ampacity")</f>
        <v>Ampacity</v>
      </c>
    </row>
    <row r="10" customFormat="false" ht="15" hidden="false" customHeight="false" outlineLevel="0" collapsed="false">
      <c r="A10" s="39" t="s">
        <v>186</v>
      </c>
      <c r="B10" s="12" t="s">
        <v>301</v>
      </c>
      <c r="C10" s="12" t="s">
        <v>311</v>
      </c>
      <c r="D10" s="14" t="s">
        <v>308</v>
      </c>
      <c r="E10" s="40" t="n">
        <f aca="false">SUMIFS(Load_Schedule!$L$5:$L$33,Load_Schedule!$D$5:$D$33,"F04")</f>
        <v>93.4705882352941</v>
      </c>
      <c r="F10" s="37" t="n">
        <f aca="false">E10*1000/(SQRT(3)*Inputs!$C$7)</f>
        <v>130.036793443276</v>
      </c>
      <c r="G10" s="18" t="n">
        <f aca="false">IFERROR(INDEX(Ref_Tables!$K$5:$K$27,COUNTIF(Ref_Tables!$K$5:$K$27,"&lt;"&amp;F10)+1),"Exceeds table")</f>
        <v>160</v>
      </c>
      <c r="H10" s="21" t="n">
        <v>45</v>
      </c>
      <c r="I10" s="21" t="n">
        <v>1</v>
      </c>
      <c r="J10" s="20" t="n">
        <f aca="false">Inputs!$C$21</f>
        <v>0.87</v>
      </c>
      <c r="K10" s="20" t="n">
        <f aca="false">Inputs!$C$22</f>
        <v>0.71</v>
      </c>
      <c r="L10" s="19" t="n">
        <f aca="false">J10*K10</f>
        <v>0.6177</v>
      </c>
      <c r="M10" s="18" t="n">
        <f aca="false">G10/(I10*L10)</f>
        <v>259.02541686903</v>
      </c>
      <c r="N10" s="18" t="n">
        <f aca="false">COUNTIF(Ref_Tables!$C$5:$C$15,"&lt;"&amp;M10)+1</f>
        <v>7</v>
      </c>
      <c r="O10" s="19" t="n">
        <f aca="false">Inputs!$C$20*Inputs!$C$7*1000/((F10/I10)*H10)</f>
        <v>2.12760296021412</v>
      </c>
      <c r="P10" s="18" t="n">
        <f aca="false">COUNTIF(Ref_Tables!$F$5:$F$15,"&gt;"&amp;O10)+1</f>
        <v>3</v>
      </c>
      <c r="Q10" s="18" t="n">
        <f aca="false">MAX(N10,P10)</f>
        <v>7</v>
      </c>
      <c r="R10" s="22" t="n">
        <f aca="false">IF(Q10&gt;11,"Add run",INDEX(Ref_Tables!$B$5:$B$15,Q10))</f>
        <v>120</v>
      </c>
      <c r="S10" s="41" t="str">
        <f aca="false">IF(Q10&gt;11,"Increase runs",I10&amp;"R x "&amp;IF(R10=16,"4C","3.5C")&amp;" x "&amp;R10&amp;" sq.mm Al XLPE armd")</f>
        <v>1R x 3.5C x 120 sq.mm Al XLPE armd</v>
      </c>
      <c r="T10" s="18" t="n">
        <f aca="false">IF(Q10&gt;11,0,INDEX(Ref_Tables!$C$5:$C$15,Q10)*L10*I10)</f>
        <v>162.4551</v>
      </c>
      <c r="U10" s="42" t="n">
        <f aca="false">IF(Q10&gt;11,0,INDEX(Ref_Tables!$F$5:$F$15,Q10)*(F10/I10)*H10/(1000*Inputs!$C$7))</f>
        <v>0.0081365178778123</v>
      </c>
      <c r="V10" s="27" t="str">
        <f aca="false">IF(AND(Q10&lt;=11,T10&gt;=G10,U10&lt;=Inputs!$C$20),"OK","CHECK")</f>
        <v>OK</v>
      </c>
      <c r="W10" s="12" t="str">
        <f aca="false">IF(P10&gt;N10,"Voltage drop","Ampacity")</f>
        <v>Ampacity</v>
      </c>
    </row>
    <row r="11" customFormat="false" ht="15" hidden="false" customHeight="false" outlineLevel="0" collapsed="false">
      <c r="A11" s="39" t="s">
        <v>193</v>
      </c>
      <c r="B11" s="12" t="s">
        <v>301</v>
      </c>
      <c r="C11" s="12" t="s">
        <v>312</v>
      </c>
      <c r="D11" s="14" t="s">
        <v>308</v>
      </c>
      <c r="E11" s="40" t="n">
        <f aca="false">SUMIFS(Load_Schedule!$L$5:$L$33,Load_Schedule!$D$5:$D$33,"F05")</f>
        <v>12.9411764705882</v>
      </c>
      <c r="F11" s="37" t="n">
        <f aca="false">E11*1000/(SQRT(3)*Inputs!$C$7)</f>
        <v>18.0038354672881</v>
      </c>
      <c r="G11" s="18" t="n">
        <f aca="false">IFERROR(INDEX(Ref_Tables!$K$5:$K$27,COUNTIF(Ref_Tables!$K$5:$K$27,"&lt;"&amp;F11)+1),"Exceeds table")</f>
        <v>20</v>
      </c>
      <c r="H11" s="21" t="n">
        <v>50</v>
      </c>
      <c r="I11" s="21" t="n">
        <v>1</v>
      </c>
      <c r="J11" s="20" t="n">
        <f aca="false">Inputs!$C$21</f>
        <v>0.87</v>
      </c>
      <c r="K11" s="20" t="n">
        <f aca="false">Inputs!$C$22</f>
        <v>0.71</v>
      </c>
      <c r="L11" s="19" t="n">
        <f aca="false">J11*K11</f>
        <v>0.6177</v>
      </c>
      <c r="M11" s="18" t="n">
        <f aca="false">G11/(I11*L11)</f>
        <v>32.3781771086288</v>
      </c>
      <c r="N11" s="18" t="n">
        <f aca="false">COUNTIF(Ref_Tables!$C$5:$C$15,"&lt;"&amp;M11)+1</f>
        <v>1</v>
      </c>
      <c r="O11" s="19" t="n">
        <f aca="false">Inputs!$C$20*Inputs!$C$7*1000/((F11/I11)*H11)</f>
        <v>13.8303863336464</v>
      </c>
      <c r="P11" s="18" t="n">
        <f aca="false">COUNTIF(Ref_Tables!$F$5:$F$15,"&gt;"&amp;O11)+1</f>
        <v>1</v>
      </c>
      <c r="Q11" s="18" t="n">
        <f aca="false">MAX(N11,P11)</f>
        <v>1</v>
      </c>
      <c r="R11" s="22" t="n">
        <f aca="false">IF(Q11&gt;11,"Add run",INDEX(Ref_Tables!$B$5:$B$15,Q11))</f>
        <v>16</v>
      </c>
      <c r="S11" s="41" t="str">
        <f aca="false">IF(Q11&gt;11,"Increase runs",I11&amp;"R x "&amp;IF(R11=16,"4C","3.5C")&amp;" x "&amp;R11&amp;" sq.mm Al XLPE armd")</f>
        <v>1R x 4C x 16 sq.mm Al XLPE armd</v>
      </c>
      <c r="T11" s="18" t="n">
        <f aca="false">IF(Q11&gt;11,0,INDEX(Ref_Tables!$C$5:$C$15,Q11)*L11*I11)</f>
        <v>47.5629</v>
      </c>
      <c r="U11" s="42" t="n">
        <f aca="false">IF(Q11&gt;11,0,INDEX(Ref_Tables!$F$5:$F$15,Q11)*(F11/I11)*H11/(1000*Inputs!$C$7))</f>
        <v>0.00920560114412505</v>
      </c>
      <c r="V11" s="27" t="str">
        <f aca="false">IF(AND(Q11&lt;=11,T11&gt;=G11,U11&lt;=Inputs!$C$20),"OK","CHECK")</f>
        <v>OK</v>
      </c>
      <c r="W11" s="12" t="str">
        <f aca="false">IF(P11&gt;N11,"Voltage drop","Ampacity")</f>
        <v>Ampacity</v>
      </c>
    </row>
    <row r="12" customFormat="false" ht="15" hidden="false" customHeight="false" outlineLevel="0" collapsed="false">
      <c r="A12" s="39" t="s">
        <v>196</v>
      </c>
      <c r="B12" s="12" t="s">
        <v>301</v>
      </c>
      <c r="C12" s="12" t="s">
        <v>313</v>
      </c>
      <c r="D12" s="14" t="s">
        <v>308</v>
      </c>
      <c r="E12" s="40" t="n">
        <f aca="false">SUMIFS(Load_Schedule!$L$5:$L$33,Load_Schedule!$D$5:$D$33,"F06")</f>
        <v>9.52941176470588</v>
      </c>
      <c r="F12" s="37" t="n">
        <f aca="false">E12*1000/(SQRT(3)*Inputs!$C$7)</f>
        <v>13.2573697531849</v>
      </c>
      <c r="G12" s="18" t="n">
        <f aca="false">IFERROR(INDEX(Ref_Tables!$K$5:$K$27,COUNTIF(Ref_Tables!$K$5:$K$27,"&lt;"&amp;F12)+1),"Exceeds table")</f>
        <v>16</v>
      </c>
      <c r="H12" s="21" t="n">
        <v>30</v>
      </c>
      <c r="I12" s="21" t="n">
        <v>1</v>
      </c>
      <c r="J12" s="20" t="n">
        <f aca="false">Inputs!$C$21</f>
        <v>0.87</v>
      </c>
      <c r="K12" s="20" t="n">
        <f aca="false">Inputs!$C$22</f>
        <v>0.71</v>
      </c>
      <c r="L12" s="19" t="n">
        <f aca="false">J12*K12</f>
        <v>0.6177</v>
      </c>
      <c r="M12" s="18" t="n">
        <f aca="false">G12/(I12*L12)</f>
        <v>25.902541686903</v>
      </c>
      <c r="N12" s="18" t="n">
        <f aca="false">COUNTIF(Ref_Tables!$C$5:$C$15,"&lt;"&amp;M12)+1</f>
        <v>1</v>
      </c>
      <c r="O12" s="19" t="n">
        <f aca="false">Inputs!$C$20*Inputs!$C$7*1000/((F12/I12)*H12)</f>
        <v>31.3033435535207</v>
      </c>
      <c r="P12" s="18" t="n">
        <f aca="false">COUNTIF(Ref_Tables!$F$5:$F$15,"&gt;"&amp;O12)+1</f>
        <v>1</v>
      </c>
      <c r="Q12" s="18" t="n">
        <f aca="false">MAX(N12,P12)</f>
        <v>1</v>
      </c>
      <c r="R12" s="22" t="n">
        <f aca="false">IF(Q12&gt;11,"Add run",INDEX(Ref_Tables!$B$5:$B$15,Q12))</f>
        <v>16</v>
      </c>
      <c r="S12" s="41" t="str">
        <f aca="false">IF(Q12&gt;11,"Increase runs",I12&amp;"R x "&amp;IF(R12=16,"4C","3.5C")&amp;" x "&amp;R12&amp;" sq.mm Al XLPE armd")</f>
        <v>1R x 4C x 16 sq.mm Al XLPE armd</v>
      </c>
      <c r="T12" s="18" t="n">
        <f aca="false">IF(Q12&gt;11,0,INDEX(Ref_Tables!$C$5:$C$15,Q12)*L12*I12)</f>
        <v>47.5629</v>
      </c>
      <c r="U12" s="42" t="n">
        <f aca="false">IF(Q12&gt;11,0,INDEX(Ref_Tables!$F$5:$F$15,Q12)*(F12/I12)*H12/(1000*Inputs!$C$7))</f>
        <v>0.00406720196004071</v>
      </c>
      <c r="V12" s="27" t="str">
        <f aca="false">IF(AND(Q12&lt;=11,T12&gt;=G12,U12&lt;=Inputs!$C$20),"OK","CHECK")</f>
        <v>OK</v>
      </c>
      <c r="W12" s="12" t="str">
        <f aca="false">IF(P12&gt;N12,"Voltage drop","Ampacity")</f>
        <v>Ampacity</v>
      </c>
    </row>
    <row r="13" customFormat="false" ht="15" hidden="false" customHeight="false" outlineLevel="0" collapsed="false">
      <c r="A13" s="39" t="s">
        <v>200</v>
      </c>
      <c r="B13" s="12" t="s">
        <v>301</v>
      </c>
      <c r="C13" s="12" t="s">
        <v>314</v>
      </c>
      <c r="D13" s="14" t="s">
        <v>315</v>
      </c>
      <c r="E13" s="40" t="n">
        <f aca="false">SUMIFS(Load_Schedule!$G$5:$G$33,Load_Schedule!$D$5:$D$33,"F07")/0.85</f>
        <v>39.6470588235294</v>
      </c>
      <c r="F13" s="37" t="n">
        <f aca="false">E13*1000/(SQRT(3)*Inputs!$C$7)</f>
        <v>55.15720502251</v>
      </c>
      <c r="G13" s="18" t="n">
        <f aca="false">IFERROR(INDEX(Ref_Tables!$K$5:$K$27,COUNTIF(Ref_Tables!$K$5:$K$27,"&lt;"&amp;F13)+1),"Exceeds table")</f>
        <v>63</v>
      </c>
      <c r="H13" s="21" t="n">
        <v>25</v>
      </c>
      <c r="I13" s="21" t="n">
        <v>1</v>
      </c>
      <c r="J13" s="20" t="n">
        <f aca="false">Inputs!$C$21</f>
        <v>0.87</v>
      </c>
      <c r="K13" s="20" t="n">
        <f aca="false">Inputs!$C$22</f>
        <v>0.71</v>
      </c>
      <c r="L13" s="19" t="n">
        <f aca="false">J13*K13</f>
        <v>0.6177</v>
      </c>
      <c r="M13" s="18" t="n">
        <f aca="false">G13/(I13*L13)</f>
        <v>101.991257892181</v>
      </c>
      <c r="N13" s="18" t="n">
        <f aca="false">COUNTIF(Ref_Tables!$C$5:$C$15,"&lt;"&amp;M13)+1</f>
        <v>3</v>
      </c>
      <c r="O13" s="19" t="n">
        <f aca="false">Inputs!$C$20*Inputs!$C$7*1000/((F13/I13)*H13)</f>
        <v>9.02873885282555</v>
      </c>
      <c r="P13" s="18" t="n">
        <f aca="false">COUNTIF(Ref_Tables!$F$5:$F$15,"&gt;"&amp;O13)+1</f>
        <v>1</v>
      </c>
      <c r="Q13" s="18" t="n">
        <f aca="false">MAX(N13,P13)</f>
        <v>3</v>
      </c>
      <c r="R13" s="22" t="n">
        <f aca="false">IF(Q13&gt;11,"Add run",INDEX(Ref_Tables!$B$5:$B$15,Q13))</f>
        <v>35</v>
      </c>
      <c r="S13" s="41" t="str">
        <f aca="false">IF(Q13&gt;11,"Increase runs",I13&amp;"R x "&amp;IF(R13=16,"4C","3.5C")&amp;" x "&amp;R13&amp;" sq.mm Al XLPE armd")</f>
        <v>1R x 3.5C x 35 sq.mm Al XLPE armd</v>
      </c>
      <c r="T13" s="18" t="n">
        <f aca="false">IF(Q13&gt;11,0,INDEX(Ref_Tables!$C$5:$C$15,Q13)*L13*I13)</f>
        <v>74.124</v>
      </c>
      <c r="U13" s="42" t="n">
        <f aca="false">IF(Q13&gt;11,0,INDEX(Ref_Tables!$F$5:$F$15,Q13)*(F13/I13)*H13/(1000*Inputs!$C$7))</f>
        <v>0.00642119230504099</v>
      </c>
      <c r="V13" s="27" t="str">
        <f aca="false">IF(AND(Q13&lt;=11,T13&gt;=G13,U13&lt;=Inputs!$C$20),"OK","CHECK")</f>
        <v>OK</v>
      </c>
      <c r="W13" s="12" t="str">
        <f aca="false">IF(P13&gt;N13,"Voltage drop","Ampacity")</f>
        <v>Ampacity</v>
      </c>
    </row>
    <row r="14" customFormat="false" ht="15" hidden="false" customHeight="false" outlineLevel="0" collapsed="false">
      <c r="A14" s="39" t="s">
        <v>179</v>
      </c>
      <c r="B14" s="12" t="s">
        <v>301</v>
      </c>
      <c r="C14" s="12" t="s">
        <v>316</v>
      </c>
      <c r="D14" s="14" t="s">
        <v>269</v>
      </c>
      <c r="E14" s="40" t="n">
        <f aca="false">Sizing!$C$43</f>
        <v>33.616298811545</v>
      </c>
      <c r="F14" s="37" t="n">
        <f aca="false">E14*1000/(SQRT(3)*Inputs!$C$7)</f>
        <v>46.7671787180829</v>
      </c>
      <c r="G14" s="18" t="n">
        <f aca="false">IFERROR(INDEX(Ref_Tables!$K$5:$K$27,COUNTIF(Ref_Tables!$K$5:$K$27,"&lt;"&amp;F14)+1),"Exceeds table")</f>
        <v>50</v>
      </c>
      <c r="H14" s="21" t="n">
        <v>15</v>
      </c>
      <c r="I14" s="21" t="n">
        <v>1</v>
      </c>
      <c r="J14" s="20" t="n">
        <f aca="false">Inputs!$C$21</f>
        <v>0.87</v>
      </c>
      <c r="K14" s="20" t="n">
        <f aca="false">Inputs!$C$22</f>
        <v>0.71</v>
      </c>
      <c r="L14" s="19" t="n">
        <f aca="false">J14*K14</f>
        <v>0.6177</v>
      </c>
      <c r="M14" s="18" t="n">
        <f aca="false">G14/(I14*L14)</f>
        <v>80.945442771572</v>
      </c>
      <c r="N14" s="18" t="n">
        <f aca="false">COUNTIF(Ref_Tables!$C$5:$C$15,"&lt;"&amp;M14)+1</f>
        <v>2</v>
      </c>
      <c r="O14" s="19" t="n">
        <f aca="false">Inputs!$C$20*Inputs!$C$7*1000/((F14/I14)*H14)</f>
        <v>17.7474892168142</v>
      </c>
      <c r="P14" s="18" t="n">
        <f aca="false">COUNTIF(Ref_Tables!$F$5:$F$15,"&gt;"&amp;O14)+1</f>
        <v>1</v>
      </c>
      <c r="Q14" s="18" t="n">
        <f aca="false">MAX(N14,P14)</f>
        <v>2</v>
      </c>
      <c r="R14" s="22" t="n">
        <f aca="false">IF(Q14&gt;11,"Add run",INDEX(Ref_Tables!$B$5:$B$15,Q14))</f>
        <v>25</v>
      </c>
      <c r="S14" s="41" t="str">
        <f aca="false">IF(Q14&gt;11,"Increase runs",I14&amp;"R x "&amp;IF(R14=16,"4C","3.5C")&amp;" x "&amp;R14&amp;" sq.mm Al XLPE armd")</f>
        <v>1R x 3.5C x 25 sq.mm Al XLPE armd</v>
      </c>
      <c r="T14" s="18" t="n">
        <f aca="false">IF(Q14&gt;11,0,INDEX(Ref_Tables!$C$5:$C$15,Q14)*L14*I14)</f>
        <v>59.9169</v>
      </c>
      <c r="U14" s="42" t="n">
        <f aca="false">IF(Q14&gt;11,0,INDEX(Ref_Tables!$F$5:$F$15,Q14)*(F14/I14)*H14/(1000*Inputs!$C$7))</f>
        <v>0.00451090911827445</v>
      </c>
      <c r="V14" s="27" t="str">
        <f aca="false">IF(AND(Q14&lt;=11,T14&gt;=G14,U14&lt;=Inputs!$C$20),"OK","CHECK")</f>
        <v>OK</v>
      </c>
      <c r="W14" s="12" t="str">
        <f aca="false">IF(P14&gt;N14,"Voltage drop","Ampacity")</f>
        <v>Ampacity</v>
      </c>
    </row>
    <row r="15" customFormat="false" ht="15" hidden="false" customHeight="false" outlineLevel="0" collapsed="false">
      <c r="A15" s="39" t="s">
        <v>206</v>
      </c>
      <c r="B15" s="12" t="s">
        <v>301</v>
      </c>
      <c r="C15" s="12" t="s">
        <v>317</v>
      </c>
      <c r="D15" s="14" t="s">
        <v>308</v>
      </c>
      <c r="E15" s="40" t="n">
        <f aca="false">SUMIFS(Load_Schedule!$L$5:$L$33,Load_Schedule!$D$5:$D$33,"F09")</f>
        <v>14.949494949495</v>
      </c>
      <c r="F15" s="37" t="n">
        <f aca="false">E15*1000/(SQRT(3)*Inputs!$C$7)</f>
        <v>20.7978191164816</v>
      </c>
      <c r="G15" s="18" t="n">
        <f aca="false">IFERROR(INDEX(Ref_Tables!$K$5:$K$27,COUNTIF(Ref_Tables!$K$5:$K$27,"&lt;"&amp;F15)+1),"Exceeds table")</f>
        <v>25</v>
      </c>
      <c r="H15" s="21" t="n">
        <v>40</v>
      </c>
      <c r="I15" s="21" t="n">
        <v>1</v>
      </c>
      <c r="J15" s="20" t="n">
        <f aca="false">Inputs!$C$21</f>
        <v>0.87</v>
      </c>
      <c r="K15" s="20" t="n">
        <f aca="false">Inputs!$C$22</f>
        <v>0.71</v>
      </c>
      <c r="L15" s="19" t="n">
        <f aca="false">J15*K15</f>
        <v>0.6177</v>
      </c>
      <c r="M15" s="18" t="n">
        <f aca="false">G15/(I15*L15)</f>
        <v>40.472721385786</v>
      </c>
      <c r="N15" s="18" t="n">
        <f aca="false">COUNTIF(Ref_Tables!$C$5:$C$15,"&lt;"&amp;M15)+1</f>
        <v>1</v>
      </c>
      <c r="O15" s="19" t="n">
        <f aca="false">Inputs!$C$20*Inputs!$C$7*1000/((F15/I15)*H15)</f>
        <v>14.9655114440987</v>
      </c>
      <c r="P15" s="18" t="n">
        <f aca="false">COUNTIF(Ref_Tables!$F$5:$F$15,"&gt;"&amp;O15)+1</f>
        <v>1</v>
      </c>
      <c r="Q15" s="18" t="n">
        <f aca="false">MAX(N15,P15)</f>
        <v>1</v>
      </c>
      <c r="R15" s="22" t="n">
        <f aca="false">IF(Q15&gt;11,"Add run",INDEX(Ref_Tables!$B$5:$B$15,Q15))</f>
        <v>16</v>
      </c>
      <c r="S15" s="41" t="str">
        <f aca="false">IF(Q15&gt;11,"Increase runs",I15&amp;"R x "&amp;IF(R15=16,"4C","3.5C")&amp;" x "&amp;R15&amp;" sq.mm Al XLPE armd")</f>
        <v>1R x 4C x 16 sq.mm Al XLPE armd</v>
      </c>
      <c r="T15" s="18" t="n">
        <f aca="false">IF(Q15&gt;11,0,INDEX(Ref_Tables!$C$5:$C$15,Q15)*L15*I15)</f>
        <v>47.5629</v>
      </c>
      <c r="U15" s="42" t="n">
        <f aca="false">IF(Q15&gt;11,0,INDEX(Ref_Tables!$F$5:$F$15,Q15)*(F15/I15)*H15/(1000*Inputs!$C$7))</f>
        <v>0.00850736179196277</v>
      </c>
      <c r="V15" s="27" t="str">
        <f aca="false">IF(AND(Q15&lt;=11,T15&gt;=G15,U15&lt;=Inputs!$C$20),"OK","CHECK")</f>
        <v>OK</v>
      </c>
      <c r="W15" s="12" t="str">
        <f aca="false">IF(P15&gt;N15,"Voltage drop","Ampacity")</f>
        <v>Ampacity</v>
      </c>
    </row>
    <row r="16" customFormat="false" ht="15" hidden="false" customHeight="false" outlineLevel="0" collapsed="false">
      <c r="A16" s="39" t="s">
        <v>210</v>
      </c>
      <c r="B16" s="12" t="s">
        <v>301</v>
      </c>
      <c r="C16" s="12" t="s">
        <v>318</v>
      </c>
      <c r="D16" s="14" t="s">
        <v>308</v>
      </c>
      <c r="E16" s="40" t="n">
        <f aca="false">SUMIFS(Load_Schedule!$L$5:$L$33,Load_Schedule!$D$5:$D$33,"F10")</f>
        <v>4.44444444444445</v>
      </c>
      <c r="F16" s="37" t="n">
        <f aca="false">E16*1000/(SQRT(3)*Inputs!$C$7)</f>
        <v>6.18313541300804</v>
      </c>
      <c r="G16" s="18" t="n">
        <f aca="false">IFERROR(INDEX(Ref_Tables!$K$5:$K$27,COUNTIF(Ref_Tables!$K$5:$K$27,"&lt;"&amp;F16)+1),"Exceeds table")</f>
        <v>16</v>
      </c>
      <c r="H16" s="21" t="n">
        <v>60</v>
      </c>
      <c r="I16" s="21" t="n">
        <v>1</v>
      </c>
      <c r="J16" s="20" t="n">
        <f aca="false">Inputs!$C$21</f>
        <v>0.87</v>
      </c>
      <c r="K16" s="20" t="n">
        <f aca="false">Inputs!$C$22</f>
        <v>0.71</v>
      </c>
      <c r="L16" s="19" t="n">
        <f aca="false">J16*K16</f>
        <v>0.6177</v>
      </c>
      <c r="M16" s="18" t="n">
        <f aca="false">G16/(I16*L16)</f>
        <v>25.902541686903</v>
      </c>
      <c r="N16" s="18" t="n">
        <f aca="false">COUNTIF(Ref_Tables!$C$5:$C$15,"&lt;"&amp;M16)+1</f>
        <v>1</v>
      </c>
      <c r="O16" s="19" t="n">
        <f aca="false">Inputs!$C$20*Inputs!$C$7*1000/((F16/I16)*H16)</f>
        <v>33.5590256625244</v>
      </c>
      <c r="P16" s="18" t="n">
        <f aca="false">COUNTIF(Ref_Tables!$F$5:$F$15,"&gt;"&amp;O16)+1</f>
        <v>1</v>
      </c>
      <c r="Q16" s="18" t="n">
        <f aca="false">MAX(N16,P16)</f>
        <v>1</v>
      </c>
      <c r="R16" s="22" t="n">
        <f aca="false">IF(Q16&gt;11,"Add run",INDEX(Ref_Tables!$B$5:$B$15,Q16))</f>
        <v>16</v>
      </c>
      <c r="S16" s="41" t="str">
        <f aca="false">IF(Q16&gt;11,"Increase runs",I16&amp;"R x "&amp;IF(R16=16,"4C","3.5C")&amp;" x "&amp;R16&amp;" sq.mm Al XLPE armd")</f>
        <v>1R x 4C x 16 sq.mm Al XLPE armd</v>
      </c>
      <c r="T16" s="18" t="n">
        <f aca="false">IF(Q16&gt;11,0,INDEX(Ref_Tables!$C$5:$C$15,Q16)*L16*I16)</f>
        <v>47.5629</v>
      </c>
      <c r="U16" s="42" t="n">
        <f aca="false">IF(Q16&gt;11,0,INDEX(Ref_Tables!$F$5:$F$15,Q16)*(F16/I16)*H16/(1000*Inputs!$C$7))</f>
        <v>0.00379382350182123</v>
      </c>
      <c r="V16" s="27" t="str">
        <f aca="false">IF(AND(Q16&lt;=11,T16&gt;=G16,U16&lt;=Inputs!$C$20),"OK","CHECK")</f>
        <v>OK</v>
      </c>
      <c r="W16" s="12" t="str">
        <f aca="false">IF(P16&gt;N16,"Voltage drop","Ampacity")</f>
        <v>Ampacity</v>
      </c>
    </row>
    <row r="17" customFormat="false" ht="23.85" hidden="false" customHeight="false" outlineLevel="0" collapsed="false">
      <c r="A17" s="39" t="s">
        <v>319</v>
      </c>
      <c r="B17" s="12" t="s">
        <v>301</v>
      </c>
      <c r="C17" s="12" t="s">
        <v>320</v>
      </c>
      <c r="D17" s="14" t="s">
        <v>321</v>
      </c>
      <c r="E17" s="40" t="n">
        <f aca="false">Sizing!$C$48*1.43</f>
        <v>107.25</v>
      </c>
      <c r="F17" s="37" t="n">
        <f aca="false">E17*1000/(SQRT(3)*Inputs!$C$7)</f>
        <v>149.20678643515</v>
      </c>
      <c r="G17" s="18" t="n">
        <f aca="false">IFERROR(INDEX(Ref_Tables!$K$5:$K$27,COUNTIF(Ref_Tables!$K$5:$K$27,"&lt;"&amp;F17)+1),"Exceeds table")</f>
        <v>160</v>
      </c>
      <c r="H17" s="21" t="n">
        <v>10</v>
      </c>
      <c r="I17" s="21" t="n">
        <v>1</v>
      </c>
      <c r="J17" s="20" t="n">
        <f aca="false">Inputs!$C$21</f>
        <v>0.87</v>
      </c>
      <c r="K17" s="20" t="n">
        <f aca="false">Inputs!$C$22</f>
        <v>0.71</v>
      </c>
      <c r="L17" s="19" t="n">
        <f aca="false">J17*K17</f>
        <v>0.6177</v>
      </c>
      <c r="M17" s="18" t="n">
        <f aca="false">G17/(I17*L17)</f>
        <v>259.02541686903</v>
      </c>
      <c r="N17" s="18" t="n">
        <f aca="false">COUNTIF(Ref_Tables!$C$5:$C$15,"&lt;"&amp;M17)+1</f>
        <v>7</v>
      </c>
      <c r="O17" s="19" t="n">
        <f aca="false">Inputs!$C$20*Inputs!$C$7*1000/((F17/I17)*H17)</f>
        <v>8.34412448485454</v>
      </c>
      <c r="P17" s="18" t="n">
        <f aca="false">COUNTIF(Ref_Tables!$F$5:$F$15,"&gt;"&amp;O17)+1</f>
        <v>1</v>
      </c>
      <c r="Q17" s="18" t="n">
        <f aca="false">MAX(N17,P17)</f>
        <v>7</v>
      </c>
      <c r="R17" s="22" t="n">
        <f aca="false">IF(Q17&gt;11,"Add run",INDEX(Ref_Tables!$B$5:$B$15,Q17))</f>
        <v>120</v>
      </c>
      <c r="S17" s="41" t="str">
        <f aca="false">IF(Q17&gt;11,"Increase runs",I17&amp;"R x "&amp;IF(R17=16,"4C","3.5C")&amp;" x "&amp;R17&amp;" sq.mm Al XLPE armd")</f>
        <v>1R x 3.5C x 120 sq.mm Al XLPE armd</v>
      </c>
      <c r="T17" s="18" t="n">
        <f aca="false">IF(Q17&gt;11,0,INDEX(Ref_Tables!$C$5:$C$15,Q17)*L17*I17)</f>
        <v>162.4551</v>
      </c>
      <c r="U17" s="42" t="n">
        <f aca="false">IF(Q17&gt;11,0,INDEX(Ref_Tables!$F$5:$F$15,Q17)*(F17/I17)*H17/(1000*Inputs!$C$7))</f>
        <v>0.00207466697723534</v>
      </c>
      <c r="V17" s="27" t="str">
        <f aca="false">IF(AND(Q17&lt;=11,T17&gt;=G17,U17&lt;=Inputs!$C$20),"OK","CHECK")</f>
        <v>OK</v>
      </c>
      <c r="W17" s="12" t="str">
        <f aca="false">IF(P17&gt;N17,"Voltage drop","Ampacity")</f>
        <v>Ampacity</v>
      </c>
    </row>
    <row r="19" customFormat="false" ht="15" hidden="false" customHeight="false" outlineLevel="0" collapsed="false">
      <c r="A19" s="2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60"/>
    <col collapsed="false" customWidth="true" hidden="false" outlineLevel="0" max="6" min="6" style="0" width="3"/>
    <col collapsed="false" customWidth="true" hidden="false" outlineLevel="0" max="7" min="7" style="0" width="6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8"/>
  </cols>
  <sheetData>
    <row r="1" customFormat="false" ht="17.35" hidden="false" customHeight="false" outlineLevel="0" collapsed="false">
      <c r="B1" s="1" t="s">
        <v>323</v>
      </c>
    </row>
    <row r="3" customFormat="false" ht="15" hidden="false" customHeight="false" outlineLevel="0" collapsed="false">
      <c r="B3" s="6" t="s">
        <v>324</v>
      </c>
    </row>
    <row r="4" customFormat="false" ht="18" hidden="false" customHeight="true" outlineLevel="0" collapsed="false">
      <c r="B4" s="11" t="s">
        <v>215</v>
      </c>
      <c r="C4" s="11" t="s">
        <v>41</v>
      </c>
      <c r="D4" s="11" t="s">
        <v>42</v>
      </c>
      <c r="E4" s="11" t="s">
        <v>325</v>
      </c>
    </row>
    <row r="5" customFormat="false" ht="15" hidden="false" customHeight="false" outlineLevel="0" collapsed="false">
      <c r="B5" s="12" t="s">
        <v>326</v>
      </c>
      <c r="C5" s="19" t="n">
        <f aca="false">Inputs!$C$23/(2*PI()*Inputs!$C$24)*LN(4*Inputs!$C$24/Inputs!$C$25)</f>
        <v>12.6992162645899</v>
      </c>
      <c r="D5" s="12" t="s">
        <v>99</v>
      </c>
      <c r="E5" s="12" t="s">
        <v>327</v>
      </c>
    </row>
    <row r="6" customFormat="false" ht="15" hidden="false" customHeight="false" outlineLevel="0" collapsed="false">
      <c r="B6" s="12" t="s">
        <v>328</v>
      </c>
      <c r="C6" s="35" t="n">
        <f aca="false">Inputs!$C$23/(2*PI()*C5*Inputs!$C$26)</f>
        <v>0.104438822428015</v>
      </c>
      <c r="D6" s="12" t="s">
        <v>57</v>
      </c>
      <c r="E6" s="12" t="s">
        <v>329</v>
      </c>
    </row>
    <row r="8" customFormat="false" ht="15" hidden="false" customHeight="false" outlineLevel="0" collapsed="false">
      <c r="B8" s="6" t="s">
        <v>330</v>
      </c>
    </row>
    <row r="9" customFormat="false" ht="18" hidden="false" customHeight="true" outlineLevel="0" collapsed="false">
      <c r="B9" s="11" t="s">
        <v>215</v>
      </c>
      <c r="C9" s="11" t="s">
        <v>41</v>
      </c>
      <c r="D9" s="11" t="s">
        <v>42</v>
      </c>
      <c r="E9" s="11" t="s">
        <v>325</v>
      </c>
    </row>
    <row r="10" customFormat="false" ht="15" hidden="false" customHeight="false" outlineLevel="0" collapsed="false">
      <c r="B10" s="12" t="s">
        <v>331</v>
      </c>
      <c r="C10" s="19" t="n">
        <f aca="false">Inputs!$C$23/(2*PI()*Inputs!$C$28)*LN(2*Inputs!$C$28^2/(Inputs!$C$29*Inputs!$C$30))</f>
        <v>1.66724295938903</v>
      </c>
      <c r="D10" s="12" t="s">
        <v>99</v>
      </c>
      <c r="E10" s="12" t="s">
        <v>332</v>
      </c>
    </row>
    <row r="12" customFormat="false" ht="15" hidden="false" customHeight="false" outlineLevel="0" collapsed="false">
      <c r="B12" s="6" t="s">
        <v>333</v>
      </c>
    </row>
    <row r="13" customFormat="false" ht="42" hidden="false" customHeight="true" outlineLevel="0" collapsed="false">
      <c r="G13" s="11" t="s">
        <v>334</v>
      </c>
      <c r="H13" s="11" t="s">
        <v>335</v>
      </c>
      <c r="I13" s="11" t="s">
        <v>336</v>
      </c>
      <c r="J13" s="11" t="s">
        <v>337</v>
      </c>
      <c r="K13" s="11" t="s">
        <v>338</v>
      </c>
    </row>
    <row r="14" customFormat="false" ht="23.85" hidden="false" customHeight="false" outlineLevel="0" collapsed="false">
      <c r="B14" s="12" t="s">
        <v>339</v>
      </c>
      <c r="C14" s="43" t="n">
        <f aca="false">IFERROR(INDEX(G14:G23,MATCH("Yes",K14:K23,0)),"&gt; 10: improve soil / longer rods")</f>
        <v>7</v>
      </c>
      <c r="D14" s="12" t="s">
        <v>48</v>
      </c>
      <c r="E14" s="14" t="s">
        <v>340</v>
      </c>
      <c r="G14" s="44" t="n">
        <f aca="false">Ref_Tables!U5</f>
        <v>1</v>
      </c>
      <c r="H14" s="20" t="n">
        <f aca="false">Ref_Tables!V5</f>
        <v>0</v>
      </c>
      <c r="I14" s="19" t="n">
        <f aca="false">$C$5*(1+H14*$C$6)/G14</f>
        <v>12.6992162645899</v>
      </c>
      <c r="J14" s="19" t="n">
        <f aca="false">1/(1/I14+1/$C$10)</f>
        <v>1.4737576306594</v>
      </c>
      <c r="K14" s="27" t="str">
        <f aca="false">IF(J14&lt;=Inputs!$C$27,"Yes","No")</f>
        <v>No</v>
      </c>
    </row>
    <row r="15" customFormat="false" ht="15" hidden="false" customHeight="false" outlineLevel="0" collapsed="false">
      <c r="B15" s="12" t="s">
        <v>341</v>
      </c>
      <c r="C15" s="45" t="n">
        <f aca="false">IFERROR(INDEX(J14:J23,MATCH("Yes",K14:K23,0)),J23)</f>
        <v>0.985651438386121</v>
      </c>
      <c r="D15" s="12" t="s">
        <v>99</v>
      </c>
      <c r="G15" s="44" t="n">
        <f aca="false">Ref_Tables!U6</f>
        <v>2</v>
      </c>
      <c r="H15" s="20" t="n">
        <f aca="false">Ref_Tables!V6</f>
        <v>1</v>
      </c>
      <c r="I15" s="19" t="n">
        <f aca="false">$C$5*(1+H15*$C$6)/G15</f>
        <v>7.01275372851119</v>
      </c>
      <c r="J15" s="19" t="n">
        <f aca="false">1/(1/I15+1/$C$10)</f>
        <v>1.34700100704967</v>
      </c>
      <c r="K15" s="27" t="str">
        <f aca="false">IF(J15&lt;=Inputs!$C$27,"Yes","No")</f>
        <v>No</v>
      </c>
    </row>
    <row r="16" customFormat="false" ht="15" hidden="false" customHeight="false" outlineLevel="0" collapsed="false">
      <c r="G16" s="44" t="n">
        <f aca="false">Ref_Tables!U7</f>
        <v>3</v>
      </c>
      <c r="H16" s="20" t="n">
        <f aca="false">Ref_Tables!V7</f>
        <v>1.66</v>
      </c>
      <c r="I16" s="19" t="n">
        <f aca="false">$C$5*(1+H16*$C$6)/G16</f>
        <v>4.96695321467594</v>
      </c>
      <c r="J16" s="19" t="n">
        <f aca="false">1/(1/I16+1/$C$10)</f>
        <v>1.24824734745657</v>
      </c>
      <c r="K16" s="27" t="str">
        <f aca="false">IF(J16&lt;=Inputs!$C$27,"Yes","No")</f>
        <v>No</v>
      </c>
    </row>
    <row r="17" customFormat="false" ht="15" hidden="false" customHeight="false" outlineLevel="0" collapsed="false">
      <c r="G17" s="44" t="n">
        <f aca="false">Ref_Tables!U8</f>
        <v>4</v>
      </c>
      <c r="H17" s="20" t="n">
        <f aca="false">Ref_Tables!V8</f>
        <v>2.15</v>
      </c>
      <c r="I17" s="19" t="n">
        <f aca="false">$C$5*(1+H17*$C$6)/G17</f>
        <v>3.88768558207993</v>
      </c>
      <c r="J17" s="19" t="n">
        <f aca="false">1/(1/I17+1/$C$10)</f>
        <v>1.16684064730146</v>
      </c>
      <c r="K17" s="27" t="str">
        <f aca="false">IF(J17&lt;=Inputs!$C$27,"Yes","No")</f>
        <v>No</v>
      </c>
    </row>
    <row r="18" customFormat="false" ht="15" hidden="false" customHeight="false" outlineLevel="0" collapsed="false">
      <c r="G18" s="44" t="n">
        <f aca="false">Ref_Tables!U9</f>
        <v>5</v>
      </c>
      <c r="H18" s="20" t="n">
        <f aca="false">Ref_Tables!V9</f>
        <v>2.54</v>
      </c>
      <c r="I18" s="19" t="n">
        <f aca="false">$C$5*(1+H18*$C$6)/G18</f>
        <v>3.21359917867367</v>
      </c>
      <c r="J18" s="19" t="n">
        <f aca="false">1/(1/I18+1/$C$10)</f>
        <v>1.09773077132724</v>
      </c>
      <c r="K18" s="27" t="str">
        <f aca="false">IF(J18&lt;=Inputs!$C$27,"Yes","No")</f>
        <v>No</v>
      </c>
    </row>
    <row r="19" customFormat="false" ht="15" hidden="false" customHeight="false" outlineLevel="0" collapsed="false">
      <c r="G19" s="44" t="n">
        <f aca="false">Ref_Tables!U10</f>
        <v>6</v>
      </c>
      <c r="H19" s="20" t="n">
        <f aca="false">Ref_Tables!V10</f>
        <v>2.87</v>
      </c>
      <c r="I19" s="19" t="n">
        <f aca="false">$C$5*(1+H19*$C$6)/G19</f>
        <v>2.75094533114518</v>
      </c>
      <c r="J19" s="19" t="n">
        <f aca="false">1/(1/I19+1/$C$10)</f>
        <v>1.03809388224633</v>
      </c>
      <c r="K19" s="27" t="str">
        <f aca="false">IF(J19&lt;=Inputs!$C$27,"Yes","No")</f>
        <v>No</v>
      </c>
    </row>
    <row r="20" customFormat="false" ht="15" hidden="false" customHeight="false" outlineLevel="0" collapsed="false">
      <c r="G20" s="44" t="n">
        <f aca="false">Ref_Tables!U11</f>
        <v>7</v>
      </c>
      <c r="H20" s="20" t="n">
        <f aca="false">Ref_Tables!V11</f>
        <v>3.15</v>
      </c>
      <c r="I20" s="19" t="n">
        <f aca="false">$C$5*(1+H20*$C$6)/G20</f>
        <v>2.41100478867888</v>
      </c>
      <c r="J20" s="19" t="n">
        <f aca="false">1/(1/I20+1/$C$10)</f>
        <v>0.985651438386121</v>
      </c>
      <c r="K20" s="27" t="str">
        <f aca="false">IF(J20&lt;=Inputs!$C$27,"Yes","No")</f>
        <v>Yes</v>
      </c>
    </row>
    <row r="21" customFormat="false" ht="15" hidden="false" customHeight="false" outlineLevel="0" collapsed="false">
      <c r="G21" s="44" t="n">
        <f aca="false">Ref_Tables!U12</f>
        <v>8</v>
      </c>
      <c r="H21" s="20" t="n">
        <f aca="false">Ref_Tables!V12</f>
        <v>3.39</v>
      </c>
      <c r="I21" s="19" t="n">
        <f aca="false">$C$5*(1+H21*$C$6)/G21</f>
        <v>2.149417925867</v>
      </c>
      <c r="J21" s="19" t="n">
        <f aca="false">1/(1/I21+1/$C$10)</f>
        <v>0.938936418881219</v>
      </c>
      <c r="K21" s="27" t="str">
        <f aca="false">IF(J21&lt;=Inputs!$C$27,"Yes","No")</f>
        <v>Yes</v>
      </c>
    </row>
    <row r="22" customFormat="false" ht="15" hidden="false" customHeight="false" outlineLevel="0" collapsed="false">
      <c r="G22" s="44" t="n">
        <f aca="false">Ref_Tables!U13</f>
        <v>9</v>
      </c>
      <c r="H22" s="20" t="n">
        <f aca="false">Ref_Tables!V13</f>
        <v>3.61</v>
      </c>
      <c r="I22" s="19" t="n">
        <f aca="false">$C$5*(1+H22*$C$6)/G22</f>
        <v>1.94301416325235</v>
      </c>
      <c r="J22" s="19" t="n">
        <f aca="false">1/(1/I22+1/$C$10)</f>
        <v>0.897298052085978</v>
      </c>
      <c r="K22" s="27" t="str">
        <f aca="false">IF(J22&lt;=Inputs!$C$27,"Yes","No")</f>
        <v>Yes</v>
      </c>
    </row>
    <row r="23" customFormat="false" ht="15" hidden="false" customHeight="false" outlineLevel="0" collapsed="false">
      <c r="G23" s="44" t="n">
        <f aca="false">Ref_Tables!U14</f>
        <v>10</v>
      </c>
      <c r="H23" s="20" t="n">
        <f aca="false">Ref_Tables!V14</f>
        <v>3.81</v>
      </c>
      <c r="I23" s="19" t="n">
        <f aca="false">$C$5*(1+H23*$C$6)/G23</f>
        <v>1.77523857077576</v>
      </c>
      <c r="J23" s="19" t="n">
        <f aca="false">1/(1/I23+1/$C$10)</f>
        <v>0.859773388012933</v>
      </c>
      <c r="K23" s="27" t="str">
        <f aca="false">IF(J23&lt;=Inputs!$C$27,"Yes","No")</f>
        <v>Yes</v>
      </c>
    </row>
    <row r="25" customFormat="false" ht="15" hidden="false" customHeight="false" outlineLevel="0" collapsed="false">
      <c r="B25" s="6" t="s">
        <v>342</v>
      </c>
    </row>
    <row r="26" customFormat="false" ht="18" hidden="false" customHeight="true" outlineLevel="0" collapsed="false">
      <c r="B26" s="11" t="s">
        <v>215</v>
      </c>
      <c r="C26" s="11" t="s">
        <v>41</v>
      </c>
      <c r="D26" s="11" t="s">
        <v>42</v>
      </c>
      <c r="E26" s="11" t="s">
        <v>325</v>
      </c>
    </row>
    <row r="27" customFormat="false" ht="15" hidden="false" customHeight="false" outlineLevel="0" collapsed="false">
      <c r="B27" s="12" t="s">
        <v>343</v>
      </c>
      <c r="C27" s="46" t="n">
        <f aca="false">Sizing!$C$20*1000</f>
        <v>9738.43827548766</v>
      </c>
      <c r="D27" s="12" t="s">
        <v>238</v>
      </c>
      <c r="E27" s="12" t="s">
        <v>344</v>
      </c>
    </row>
    <row r="28" customFormat="false" ht="15" hidden="false" customHeight="false" outlineLevel="0" collapsed="false">
      <c r="B28" s="12" t="s">
        <v>345</v>
      </c>
      <c r="C28" s="18" t="n">
        <f aca="false">C27*SQRT(Inputs!$C$31)/Inputs!$C$32</f>
        <v>121.730478443596</v>
      </c>
      <c r="D28" s="12" t="s">
        <v>346</v>
      </c>
      <c r="E28" s="12" t="s">
        <v>347</v>
      </c>
    </row>
    <row r="29" customFormat="false" ht="15" hidden="false" customHeight="false" outlineLevel="0" collapsed="false">
      <c r="B29" s="12" t="s">
        <v>348</v>
      </c>
      <c r="C29" s="18" t="n">
        <f aca="false">C28*Inputs!$C$33</f>
        <v>182.595717665394</v>
      </c>
      <c r="D29" s="12" t="s">
        <v>346</v>
      </c>
    </row>
    <row r="30" customFormat="false" ht="15" hidden="false" customHeight="false" outlineLevel="0" collapsed="false">
      <c r="B30" s="12" t="s">
        <v>349</v>
      </c>
      <c r="C30" s="47" t="str">
        <f aca="false">IFERROR(INDEX(Ref_Tables!$X$5:$X$11,COUNTIF(Ref_Tables!$Y$5:$Y$11,"&lt;"&amp;C29)+1),"Use copper")</f>
        <v>32 x 6</v>
      </c>
      <c r="D30" s="12" t="s">
        <v>350</v>
      </c>
    </row>
    <row r="32" customFormat="false" ht="15" hidden="false" customHeight="false" outlineLevel="0" collapsed="false">
      <c r="B32" s="6" t="s">
        <v>351</v>
      </c>
    </row>
    <row r="33" customFormat="false" ht="18" hidden="false" customHeight="true" outlineLevel="0" collapsed="false">
      <c r="B33" s="11" t="s">
        <v>352</v>
      </c>
      <c r="C33" s="11" t="s">
        <v>353</v>
      </c>
      <c r="D33" s="11"/>
      <c r="E33" s="11" t="s">
        <v>354</v>
      </c>
    </row>
    <row r="34" customFormat="false" ht="15" hidden="false" customHeight="false" outlineLevel="0" collapsed="false">
      <c r="B34" s="12" t="s">
        <v>355</v>
      </c>
      <c r="C34" s="21" t="n">
        <v>2</v>
      </c>
      <c r="E34" s="12" t="s">
        <v>356</v>
      </c>
    </row>
    <row r="35" customFormat="false" ht="15" hidden="false" customHeight="false" outlineLevel="0" collapsed="false">
      <c r="B35" s="12" t="s">
        <v>357</v>
      </c>
      <c r="C35" s="21" t="n">
        <v>2</v>
      </c>
      <c r="E35" s="12"/>
    </row>
    <row r="36" customFormat="false" ht="15" hidden="false" customHeight="false" outlineLevel="0" collapsed="false">
      <c r="B36" s="12" t="s">
        <v>358</v>
      </c>
      <c r="C36" s="21" t="n">
        <v>2</v>
      </c>
      <c r="E36" s="12" t="s">
        <v>359</v>
      </c>
    </row>
    <row r="37" customFormat="false" ht="15" hidden="false" customHeight="false" outlineLevel="0" collapsed="false">
      <c r="B37" s="12" t="s">
        <v>360</v>
      </c>
      <c r="C37" s="21" t="n">
        <v>2</v>
      </c>
      <c r="E37" s="12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3"/>
    <col collapsed="false" customWidth="true" hidden="false" outlineLevel="0" max="11" min="11" style="0" width="10"/>
    <col collapsed="false" customWidth="true" hidden="false" outlineLevel="0" max="12" min="12" style="0" width="3"/>
    <col collapsed="false" customWidth="true" hidden="false" outlineLevel="0" max="13" min="13" style="0" width="10"/>
    <col collapsed="false" customWidth="true" hidden="false" outlineLevel="0" max="14" min="14" style="0" width="3"/>
    <col collapsed="false" customWidth="true" hidden="false" outlineLevel="0" max="15" min="15" style="0" width="10"/>
    <col collapsed="false" customWidth="true" hidden="false" outlineLevel="0" max="16" min="16" style="0" width="3"/>
    <col collapsed="false" customWidth="true" hidden="false" outlineLevel="0" max="17" min="17" style="0" width="10"/>
    <col collapsed="false" customWidth="true" hidden="false" outlineLevel="0" max="18" min="18" style="0" width="3"/>
    <col collapsed="false" customWidth="true" hidden="false" outlineLevel="0" max="19" min="19" style="0" width="10"/>
    <col collapsed="false" customWidth="true" hidden="false" outlineLevel="0" max="20" min="20" style="0" width="3"/>
    <col collapsed="false" customWidth="true" hidden="false" outlineLevel="0" max="21" min="21" style="0" width="6"/>
    <col collapsed="false" customWidth="true" hidden="false" outlineLevel="0" max="22" min="22" style="0" width="8"/>
    <col collapsed="false" customWidth="true" hidden="false" outlineLevel="0" max="23" min="23" style="0" width="3"/>
    <col collapsed="false" customWidth="true" hidden="false" outlineLevel="0" max="24" min="24" style="0" width="12"/>
    <col collapsed="false" customWidth="true" hidden="false" outlineLevel="0" max="25" min="25" style="0" width="10"/>
  </cols>
  <sheetData>
    <row r="2" customFormat="false" ht="17.35" hidden="false" customHeight="false" outlineLevel="0" collapsed="false">
      <c r="B2" s="1" t="s">
        <v>362</v>
      </c>
    </row>
    <row r="3" customFormat="false" ht="15" hidden="false" customHeight="false" outlineLevel="0" collapsed="false">
      <c r="B3" s="2" t="s">
        <v>363</v>
      </c>
      <c r="H3" s="2" t="s">
        <v>364</v>
      </c>
      <c r="U3" s="2" t="s">
        <v>365</v>
      </c>
    </row>
    <row r="4" customFormat="false" ht="42" hidden="false" customHeight="true" outlineLevel="0" collapsed="false">
      <c r="B4" s="11" t="s">
        <v>294</v>
      </c>
      <c r="C4" s="11" t="s">
        <v>366</v>
      </c>
      <c r="D4" s="11" t="s">
        <v>367</v>
      </c>
      <c r="E4" s="11" t="s">
        <v>368</v>
      </c>
      <c r="F4" s="11" t="s">
        <v>369</v>
      </c>
      <c r="G4" s="11" t="s">
        <v>370</v>
      </c>
      <c r="H4" s="11" t="s">
        <v>121</v>
      </c>
      <c r="I4" s="11" t="s">
        <v>122</v>
      </c>
      <c r="K4" s="11" t="s">
        <v>284</v>
      </c>
      <c r="M4" s="11" t="s">
        <v>371</v>
      </c>
      <c r="O4" s="11" t="s">
        <v>372</v>
      </c>
      <c r="Q4" s="11" t="s">
        <v>373</v>
      </c>
      <c r="S4" s="11" t="s">
        <v>374</v>
      </c>
      <c r="U4" s="11" t="s">
        <v>334</v>
      </c>
      <c r="V4" s="11" t="s">
        <v>375</v>
      </c>
      <c r="X4" s="11" t="s">
        <v>376</v>
      </c>
      <c r="Y4" s="11" t="s">
        <v>377</v>
      </c>
    </row>
    <row r="5" customFormat="false" ht="15" hidden="false" customHeight="false" outlineLevel="0" collapsed="false">
      <c r="B5" s="48" t="n">
        <v>16</v>
      </c>
      <c r="C5" s="48" t="n">
        <v>77</v>
      </c>
      <c r="D5" s="49" t="n">
        <v>1.91</v>
      </c>
      <c r="E5" s="49" t="n">
        <v>0.083</v>
      </c>
      <c r="F5" s="19" t="n">
        <f aca="false">SQRT(3)*SQRT((D5*(1+0.00403*70))^2+E5^2)</f>
        <v>4.24390067522356</v>
      </c>
      <c r="G5" s="50" t="n">
        <v>1.5</v>
      </c>
      <c r="H5" s="50" t="n">
        <v>0.6</v>
      </c>
      <c r="I5" s="50" t="n">
        <v>0.45</v>
      </c>
      <c r="K5" s="48" t="n">
        <v>16</v>
      </c>
      <c r="M5" s="48" t="n">
        <v>100</v>
      </c>
      <c r="O5" s="48" t="n">
        <v>15</v>
      </c>
      <c r="Q5" s="48" t="n">
        <v>6</v>
      </c>
      <c r="S5" s="48" t="n">
        <v>7</v>
      </c>
      <c r="U5" s="48" t="n">
        <v>1</v>
      </c>
      <c r="V5" s="50" t="n">
        <v>0</v>
      </c>
      <c r="X5" s="48" t="s">
        <v>378</v>
      </c>
      <c r="Y5" s="48" t="n">
        <v>75</v>
      </c>
    </row>
    <row r="6" customFormat="false" ht="15" hidden="false" customHeight="false" outlineLevel="0" collapsed="false">
      <c r="B6" s="48" t="n">
        <v>25</v>
      </c>
      <c r="C6" s="48" t="n">
        <v>97</v>
      </c>
      <c r="D6" s="49" t="n">
        <v>1.2</v>
      </c>
      <c r="E6" s="49" t="n">
        <v>0.082</v>
      </c>
      <c r="F6" s="19" t="n">
        <f aca="false">SQRT(3)*SQRT((D6*(1+0.00403*70))^2+E6^2)</f>
        <v>2.66857703115349</v>
      </c>
      <c r="G6" s="50" t="n">
        <v>2.35</v>
      </c>
      <c r="H6" s="50" t="n">
        <v>0.8</v>
      </c>
      <c r="I6" s="50" t="n">
        <v>0.53</v>
      </c>
      <c r="K6" s="48" t="n">
        <v>20</v>
      </c>
      <c r="M6" s="48" t="n">
        <v>160</v>
      </c>
      <c r="O6" s="48" t="n">
        <v>20</v>
      </c>
      <c r="Q6" s="48" t="n">
        <v>10</v>
      </c>
      <c r="S6" s="48" t="n">
        <v>9</v>
      </c>
      <c r="U6" s="48" t="n">
        <v>2</v>
      </c>
      <c r="V6" s="50" t="n">
        <v>1</v>
      </c>
      <c r="X6" s="48" t="s">
        <v>379</v>
      </c>
      <c r="Y6" s="48" t="n">
        <v>150</v>
      </c>
    </row>
    <row r="7" customFormat="false" ht="15" hidden="false" customHeight="false" outlineLevel="0" collapsed="false">
      <c r="B7" s="48" t="n">
        <v>35</v>
      </c>
      <c r="C7" s="48" t="n">
        <v>120</v>
      </c>
      <c r="D7" s="49" t="n">
        <v>0.868</v>
      </c>
      <c r="E7" s="49" t="n">
        <v>0.08</v>
      </c>
      <c r="F7" s="19" t="n">
        <f aca="false">SQRT(3)*SQRT((D7*(1+0.00403*70))^2+E7^2)</f>
        <v>1.9325089481996</v>
      </c>
      <c r="G7" s="50" t="n">
        <v>3.29</v>
      </c>
      <c r="H7" s="50" t="n">
        <v>1</v>
      </c>
      <c r="I7" s="50" t="n">
        <v>0.58</v>
      </c>
      <c r="K7" s="48" t="n">
        <v>25</v>
      </c>
      <c r="M7" s="48" t="n">
        <v>200</v>
      </c>
      <c r="O7" s="48" t="n">
        <v>25</v>
      </c>
      <c r="Q7" s="48" t="n">
        <v>15</v>
      </c>
      <c r="S7" s="48" t="n">
        <v>12</v>
      </c>
      <c r="U7" s="48" t="n">
        <v>3</v>
      </c>
      <c r="V7" s="50" t="n">
        <v>1.66</v>
      </c>
      <c r="X7" s="48" t="s">
        <v>380</v>
      </c>
      <c r="Y7" s="48" t="n">
        <v>192</v>
      </c>
    </row>
    <row r="8" customFormat="false" ht="15" hidden="false" customHeight="false" outlineLevel="0" collapsed="false">
      <c r="B8" s="48" t="n">
        <v>50</v>
      </c>
      <c r="C8" s="48" t="n">
        <v>146</v>
      </c>
      <c r="D8" s="49" t="n">
        <v>0.641</v>
      </c>
      <c r="E8" s="49" t="n">
        <v>0.079</v>
      </c>
      <c r="F8" s="19" t="n">
        <f aca="false">SQRT(3)*SQRT((D8*(1+0.00403*70))^2+E8^2)</f>
        <v>1.43000608947082</v>
      </c>
      <c r="G8" s="50" t="n">
        <v>4.7</v>
      </c>
      <c r="H8" s="50" t="n">
        <v>1.25</v>
      </c>
      <c r="I8" s="50" t="n">
        <v>0.63</v>
      </c>
      <c r="K8" s="48" t="n">
        <v>32</v>
      </c>
      <c r="M8" s="48" t="n">
        <v>250</v>
      </c>
      <c r="O8" s="48" t="n">
        <v>30</v>
      </c>
      <c r="Q8" s="48" t="n">
        <v>20</v>
      </c>
      <c r="S8" s="48" t="n">
        <v>18</v>
      </c>
      <c r="U8" s="48" t="n">
        <v>4</v>
      </c>
      <c r="V8" s="50" t="n">
        <v>2.15</v>
      </c>
      <c r="X8" s="48" t="s">
        <v>381</v>
      </c>
      <c r="Y8" s="48" t="n">
        <v>240</v>
      </c>
    </row>
    <row r="9" customFormat="false" ht="15" hidden="false" customHeight="false" outlineLevel="0" collapsed="false">
      <c r="B9" s="48" t="n">
        <v>70</v>
      </c>
      <c r="C9" s="48" t="n">
        <v>187</v>
      </c>
      <c r="D9" s="49" t="n">
        <v>0.443</v>
      </c>
      <c r="E9" s="49" t="n">
        <v>0.077</v>
      </c>
      <c r="F9" s="19" t="n">
        <f aca="false">SQRT(3)*SQRT((D9*(1+0.00403*70))^2+E9^2)</f>
        <v>0.992752630339638</v>
      </c>
      <c r="G9" s="50" t="n">
        <v>6.58</v>
      </c>
      <c r="H9" s="50" t="n">
        <v>1.5</v>
      </c>
      <c r="I9" s="50" t="n">
        <v>0.67</v>
      </c>
      <c r="K9" s="48" t="n">
        <v>40</v>
      </c>
      <c r="M9" s="48" t="n">
        <v>315</v>
      </c>
      <c r="O9" s="48" t="n">
        <v>40</v>
      </c>
      <c r="Q9" s="48" t="n">
        <v>30</v>
      </c>
      <c r="S9" s="48" t="n">
        <v>26</v>
      </c>
      <c r="U9" s="48" t="n">
        <v>5</v>
      </c>
      <c r="V9" s="50" t="n">
        <v>2.54</v>
      </c>
      <c r="X9" s="48" t="s">
        <v>382</v>
      </c>
      <c r="Y9" s="48" t="n">
        <v>300</v>
      </c>
    </row>
    <row r="10" customFormat="false" ht="15" hidden="false" customHeight="false" outlineLevel="0" collapsed="false">
      <c r="B10" s="48" t="n">
        <v>95</v>
      </c>
      <c r="C10" s="48" t="n">
        <v>227</v>
      </c>
      <c r="D10" s="49" t="n">
        <v>0.32</v>
      </c>
      <c r="E10" s="49" t="n">
        <v>0.077</v>
      </c>
      <c r="F10" s="19" t="n">
        <f aca="false">SQRT(3)*SQRT((D10*(1+0.00403*70))^2+E10^2)</f>
        <v>0.723018908433244</v>
      </c>
      <c r="G10" s="50" t="n">
        <v>8.93</v>
      </c>
      <c r="H10" s="50" t="n">
        <v>2</v>
      </c>
      <c r="I10" s="50" t="n">
        <v>0.72</v>
      </c>
      <c r="K10" s="48" t="n">
        <v>50</v>
      </c>
      <c r="M10" s="48" t="n">
        <v>400</v>
      </c>
      <c r="O10" s="48" t="n">
        <v>62.5</v>
      </c>
      <c r="Q10" s="48" t="n">
        <v>40</v>
      </c>
      <c r="S10" s="48" t="n">
        <v>42</v>
      </c>
      <c r="U10" s="48" t="n">
        <v>6</v>
      </c>
      <c r="V10" s="50" t="n">
        <v>2.87</v>
      </c>
      <c r="X10" s="48" t="s">
        <v>383</v>
      </c>
      <c r="Y10" s="48" t="n">
        <v>500</v>
      </c>
    </row>
    <row r="11" customFormat="false" ht="15" hidden="false" customHeight="false" outlineLevel="0" collapsed="false">
      <c r="B11" s="48" t="n">
        <v>120</v>
      </c>
      <c r="C11" s="48" t="n">
        <v>263</v>
      </c>
      <c r="D11" s="49" t="n">
        <v>0.253</v>
      </c>
      <c r="E11" s="49" t="n">
        <v>0.076</v>
      </c>
      <c r="F11" s="19" t="n">
        <f aca="false">SQRT(3)*SQRT((D11*(1+0.00403*70))^2+E11^2)</f>
        <v>0.577042650755618</v>
      </c>
      <c r="G11" s="50" t="n">
        <v>11.28</v>
      </c>
      <c r="H11" s="50" t="n">
        <v>2.5</v>
      </c>
      <c r="I11" s="50" t="n">
        <v>0.75</v>
      </c>
      <c r="K11" s="48" t="n">
        <v>63</v>
      </c>
      <c r="M11" s="48" t="n">
        <v>500</v>
      </c>
      <c r="O11" s="48" t="n">
        <v>82.5</v>
      </c>
      <c r="Q11" s="48" t="n">
        <v>60</v>
      </c>
      <c r="S11" s="48" t="n">
        <v>65</v>
      </c>
      <c r="U11" s="48" t="n">
        <v>7</v>
      </c>
      <c r="V11" s="50" t="n">
        <v>3.15</v>
      </c>
      <c r="X11" s="48" t="s">
        <v>384</v>
      </c>
      <c r="Y11" s="48" t="n">
        <v>750</v>
      </c>
    </row>
    <row r="12" customFormat="false" ht="15" hidden="false" customHeight="false" outlineLevel="0" collapsed="false">
      <c r="B12" s="48" t="n">
        <v>150</v>
      </c>
      <c r="C12" s="48" t="n">
        <v>304</v>
      </c>
      <c r="D12" s="49" t="n">
        <v>0.206</v>
      </c>
      <c r="E12" s="49" t="n">
        <v>0.076</v>
      </c>
      <c r="F12" s="19" t="n">
        <f aca="false">SQRT(3)*SQRT((D12*(1+0.00403*70))^2+E12^2)</f>
        <v>0.476019323595461</v>
      </c>
      <c r="G12" s="50" t="n">
        <v>14.1</v>
      </c>
      <c r="H12" s="50" t="n">
        <v>3</v>
      </c>
      <c r="I12" s="50" t="n">
        <v>0.78</v>
      </c>
      <c r="K12" s="48" t="n">
        <v>80</v>
      </c>
      <c r="M12" s="48" t="n">
        <v>630</v>
      </c>
      <c r="O12" s="48" t="n">
        <v>100</v>
      </c>
      <c r="Q12" s="48" t="n">
        <v>80</v>
      </c>
      <c r="S12" s="48" t="n">
        <v>100</v>
      </c>
      <c r="U12" s="48" t="n">
        <v>8</v>
      </c>
      <c r="V12" s="50" t="n">
        <v>3.39</v>
      </c>
    </row>
    <row r="13" customFormat="false" ht="15" hidden="false" customHeight="false" outlineLevel="0" collapsed="false">
      <c r="B13" s="48" t="n">
        <v>185</v>
      </c>
      <c r="C13" s="48" t="n">
        <v>347</v>
      </c>
      <c r="D13" s="49" t="n">
        <v>0.164</v>
      </c>
      <c r="E13" s="49" t="n">
        <v>0.076</v>
      </c>
      <c r="F13" s="19" t="n">
        <f aca="false">SQRT(3)*SQRT((D13*(1+0.00403*70))^2+E13^2)</f>
        <v>0.387248439276493</v>
      </c>
      <c r="G13" s="50" t="n">
        <v>17.39</v>
      </c>
      <c r="H13" s="50" t="n">
        <v>4</v>
      </c>
      <c r="I13" s="50" t="n">
        <v>0.81</v>
      </c>
      <c r="K13" s="48" t="n">
        <v>100</v>
      </c>
      <c r="M13" s="48" t="n">
        <v>800</v>
      </c>
      <c r="O13" s="48" t="n">
        <v>125</v>
      </c>
      <c r="Q13" s="48" t="n">
        <v>100</v>
      </c>
      <c r="S13" s="48" t="n">
        <v>120</v>
      </c>
      <c r="U13" s="48" t="n">
        <v>9</v>
      </c>
      <c r="V13" s="50" t="n">
        <v>3.61</v>
      </c>
    </row>
    <row r="14" customFormat="false" ht="15" hidden="false" customHeight="false" outlineLevel="0" collapsed="false">
      <c r="B14" s="48" t="n">
        <v>240</v>
      </c>
      <c r="C14" s="48" t="n">
        <v>409</v>
      </c>
      <c r="D14" s="49" t="n">
        <v>0.125</v>
      </c>
      <c r="E14" s="49" t="n">
        <v>0.075</v>
      </c>
      <c r="F14" s="19" t="n">
        <f aca="false">SQRT(3)*SQRT((D14*(1+0.00403*70))^2+E14^2)</f>
        <v>0.306475458591304</v>
      </c>
      <c r="G14" s="50" t="n">
        <v>22.56</v>
      </c>
      <c r="H14" s="50" t="n">
        <v>5</v>
      </c>
      <c r="I14" s="50" t="n">
        <v>0.83</v>
      </c>
      <c r="K14" s="48" t="n">
        <v>125</v>
      </c>
      <c r="M14" s="48" t="n">
        <v>1000</v>
      </c>
      <c r="O14" s="48" t="n">
        <v>160</v>
      </c>
      <c r="Q14" s="48" t="n">
        <v>120</v>
      </c>
      <c r="S14" s="48" t="n">
        <v>150</v>
      </c>
      <c r="U14" s="48" t="n">
        <v>10</v>
      </c>
      <c r="V14" s="50" t="n">
        <v>3.81</v>
      </c>
    </row>
    <row r="15" customFormat="false" ht="15" hidden="false" customHeight="false" outlineLevel="0" collapsed="false">
      <c r="B15" s="48" t="n">
        <v>300</v>
      </c>
      <c r="C15" s="48" t="n">
        <v>471</v>
      </c>
      <c r="D15" s="49" t="n">
        <v>0.1</v>
      </c>
      <c r="E15" s="49" t="n">
        <v>0.075</v>
      </c>
      <c r="F15" s="19" t="n">
        <f aca="false">SQRT(3)*SQRT((D15*(1+0.00403*70))^2+E15^2)</f>
        <v>0.257271087182373</v>
      </c>
      <c r="G15" s="50" t="n">
        <v>28.2</v>
      </c>
      <c r="K15" s="48" t="n">
        <v>160</v>
      </c>
      <c r="M15" s="48" t="n">
        <v>1250</v>
      </c>
      <c r="O15" s="48" t="n">
        <v>200</v>
      </c>
      <c r="Q15" s="48" t="n">
        <v>160</v>
      </c>
      <c r="S15" s="48" t="n">
        <v>200</v>
      </c>
    </row>
    <row r="16" customFormat="false" ht="15" hidden="false" customHeight="false" outlineLevel="0" collapsed="false">
      <c r="B16" s="2" t="s">
        <v>385</v>
      </c>
      <c r="K16" s="48" t="n">
        <v>200</v>
      </c>
      <c r="M16" s="48" t="n">
        <v>1600</v>
      </c>
      <c r="O16" s="48" t="n">
        <v>250</v>
      </c>
      <c r="Q16" s="48" t="n">
        <v>200</v>
      </c>
    </row>
    <row r="17" customFormat="false" ht="15" hidden="false" customHeight="false" outlineLevel="0" collapsed="false">
      <c r="K17" s="48" t="n">
        <v>250</v>
      </c>
      <c r="M17" s="48" t="n">
        <v>2000</v>
      </c>
      <c r="O17" s="48" t="n">
        <v>320</v>
      </c>
    </row>
    <row r="18" customFormat="false" ht="15" hidden="false" customHeight="false" outlineLevel="0" collapsed="false">
      <c r="K18" s="48" t="n">
        <v>320</v>
      </c>
      <c r="O18" s="48" t="n">
        <v>380</v>
      </c>
    </row>
    <row r="19" customFormat="false" ht="15" hidden="false" customHeight="false" outlineLevel="0" collapsed="false">
      <c r="K19" s="48" t="n">
        <v>400</v>
      </c>
      <c r="O19" s="48" t="n">
        <v>500</v>
      </c>
    </row>
    <row r="20" customFormat="false" ht="15" hidden="false" customHeight="false" outlineLevel="0" collapsed="false">
      <c r="K20" s="48" t="n">
        <v>500</v>
      </c>
      <c r="O20" s="48" t="n">
        <v>625</v>
      </c>
    </row>
    <row r="21" customFormat="false" ht="15" hidden="false" customHeight="false" outlineLevel="0" collapsed="false">
      <c r="K21" s="48" t="n">
        <v>630</v>
      </c>
      <c r="O21" s="48" t="n">
        <v>750</v>
      </c>
    </row>
    <row r="22" customFormat="false" ht="15" hidden="false" customHeight="false" outlineLevel="0" collapsed="false">
      <c r="K22" s="48" t="n">
        <v>800</v>
      </c>
      <c r="O22" s="48" t="n">
        <v>1010</v>
      </c>
    </row>
    <row r="23" customFormat="false" ht="15" hidden="false" customHeight="false" outlineLevel="0" collapsed="false">
      <c r="K23" s="48" t="n">
        <v>1000</v>
      </c>
    </row>
    <row r="24" customFormat="false" ht="15" hidden="false" customHeight="false" outlineLevel="0" collapsed="false">
      <c r="K24" s="48" t="n">
        <v>1250</v>
      </c>
    </row>
    <row r="25" customFormat="false" ht="15" hidden="false" customHeight="false" outlineLevel="0" collapsed="false">
      <c r="K25" s="48" t="n">
        <v>1600</v>
      </c>
    </row>
    <row r="26" customFormat="false" ht="15" hidden="false" customHeight="false" outlineLevel="0" collapsed="false">
      <c r="K26" s="48" t="n">
        <v>2000</v>
      </c>
    </row>
    <row r="27" customFormat="false" ht="15" hidden="false" customHeight="false" outlineLevel="0" collapsed="false">
      <c r="K27" s="48" t="n">
        <v>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2026-10-21T14:30:28Z</dcterms:created>
  <dc:creator>openpyxl</dc:creator>
  <dc:description/>
  <dc:language>en-US</dc:language>
  <cp:lastModifiedBy/>
  <dcterms:modified xsi:type="dcterms:W3CDTF">2026-10-21T14:30:29Z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